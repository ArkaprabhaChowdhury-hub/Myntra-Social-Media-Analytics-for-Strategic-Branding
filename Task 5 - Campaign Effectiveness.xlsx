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Science\Myntra Social Media Analytics for Strategic Branding (Excel Project)\"/>
    </mc:Choice>
  </mc:AlternateContent>
  <xr:revisionPtr revIDLastSave="0" documentId="8_{DF2D12E2-2088-4268-A82D-00511DDFC3DE}" xr6:coauthVersionLast="47" xr6:coauthVersionMax="47" xr10:uidLastSave="{00000000-0000-0000-0000-000000000000}"/>
  <bookViews>
    <workbookView xWindow="-108" yWindow="-108" windowWidth="23256" windowHeight="12456" activeTab="1" xr2:uid="{5F22CD3F-A611-42F7-B5C1-14303158B5D6}"/>
  </bookViews>
  <sheets>
    <sheet name="Total And Average" sheetId="1" r:id="rId1"/>
    <sheet name="Upliftment And Insights" sheetId="3" r:id="rId2"/>
  </sheets>
  <definedNames>
    <definedName name="_xlnm._FilterDatabase" localSheetId="0" hidden="1">'Total And Average'!$A$1:$A$301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3" l="1"/>
  <c r="G17" i="3"/>
  <c r="I17" i="3" s="1"/>
  <c r="I15" i="3"/>
  <c r="H15" i="3"/>
  <c r="G15" i="3"/>
  <c r="I13" i="3"/>
  <c r="H13" i="3"/>
  <c r="G13" i="3"/>
  <c r="H11" i="3"/>
  <c r="G11" i="3"/>
  <c r="I11" i="3" s="1"/>
  <c r="H9" i="3"/>
  <c r="G9" i="3"/>
  <c r="D237" i="3"/>
  <c r="D158" i="3"/>
  <c r="D85" i="3"/>
  <c r="I4" i="1"/>
  <c r="K22" i="1"/>
  <c r="K10" i="1"/>
  <c r="J22" i="1"/>
  <c r="J10" i="1"/>
  <c r="I22" i="1"/>
  <c r="I10" i="1"/>
  <c r="K20" i="1"/>
  <c r="K8" i="1"/>
  <c r="J20" i="1"/>
  <c r="J8" i="1"/>
  <c r="J18" i="1"/>
  <c r="I20" i="1"/>
  <c r="I8" i="1"/>
  <c r="K18" i="1"/>
  <c r="K6" i="1"/>
  <c r="J6" i="1"/>
  <c r="I18" i="1"/>
  <c r="I6" i="1"/>
  <c r="K16" i="1"/>
  <c r="K4" i="1"/>
  <c r="J16" i="1"/>
  <c r="J4" i="1"/>
  <c r="I16" i="1"/>
  <c r="I9" i="3" l="1"/>
  <c r="D306" i="3" l="1"/>
  <c r="D305" i="3"/>
</calcChain>
</file>

<file path=xl/sharedStrings.xml><?xml version="1.0" encoding="utf-8"?>
<sst xmlns="http://schemas.openxmlformats.org/spreadsheetml/2006/main" count="949" uniqueCount="37">
  <si>
    <t>Date</t>
  </si>
  <si>
    <t>Likes</t>
  </si>
  <si>
    <t>Impressions</t>
  </si>
  <si>
    <t>Clicks</t>
  </si>
  <si>
    <t>Campaign_Name</t>
  </si>
  <si>
    <t>FashionUpgrade</t>
  </si>
  <si>
    <t>EndOfSeasonSale</t>
  </si>
  <si>
    <t>MyntraFestiveEdit</t>
  </si>
  <si>
    <t>StyleRevolution</t>
  </si>
  <si>
    <t>Start_Date</t>
  </si>
  <si>
    <t>End_Date</t>
  </si>
  <si>
    <t>Engagement Rate</t>
  </si>
  <si>
    <t>Campaign Name</t>
  </si>
  <si>
    <t>Total Likes</t>
  </si>
  <si>
    <t>Total Impresssions</t>
  </si>
  <si>
    <t>Total Clicks</t>
  </si>
  <si>
    <t>Average Likes</t>
  </si>
  <si>
    <t>Average Impresssions</t>
  </si>
  <si>
    <t>Average Clicks</t>
  </si>
  <si>
    <t>Content Type</t>
  </si>
  <si>
    <t>Reel</t>
  </si>
  <si>
    <t>Text</t>
  </si>
  <si>
    <t>Story</t>
  </si>
  <si>
    <t>Carousel</t>
  </si>
  <si>
    <t>Image</t>
  </si>
  <si>
    <t>Video</t>
  </si>
  <si>
    <t>Total_Budget</t>
  </si>
  <si>
    <t>EndOfSeasonSale Total</t>
  </si>
  <si>
    <t>FashionUpgrade Total</t>
  </si>
  <si>
    <t>MyntraFestiveEdit Total</t>
  </si>
  <si>
    <t>StyleRevolution Total</t>
  </si>
  <si>
    <t>Grand Total</t>
  </si>
  <si>
    <t>ER (Before)</t>
  </si>
  <si>
    <t>ER (During)</t>
  </si>
  <si>
    <t>Engagement Upliftment</t>
  </si>
  <si>
    <t>Total</t>
  </si>
  <si>
    <t xml:space="preserve">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</si>
</sst>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3" borderId="2" xfId="0" applyFont="1" applyFill="1" applyBorder="1"/>
    <xf numFmtId="0" fontId="0" fillId="4" borderId="2" xfId="0" applyFont="1" applyFill="1" applyBorder="1"/>
    <xf numFmtId="0" fontId="1" fillId="2" borderId="0" xfId="0" applyFont="1" applyFill="1" applyBorder="1"/>
    <xf numFmtId="0" fontId="1" fillId="2" borderId="4" xfId="0" applyFont="1" applyFill="1" applyBorder="1"/>
    <xf numFmtId="14" fontId="0" fillId="4" borderId="7" xfId="0" applyNumberFormat="1" applyFont="1" applyFill="1" applyBorder="1"/>
    <xf numFmtId="0" fontId="0" fillId="4" borderId="8" xfId="0" applyFont="1" applyFill="1" applyBorder="1"/>
    <xf numFmtId="0" fontId="0" fillId="4" borderId="8" xfId="0" applyNumberFormat="1" applyFont="1" applyFill="1" applyBorder="1"/>
    <xf numFmtId="14" fontId="0" fillId="3" borderId="7" xfId="0" applyNumberFormat="1" applyFont="1" applyFill="1" applyBorder="1"/>
    <xf numFmtId="0" fontId="0" fillId="3" borderId="8" xfId="0" applyFont="1" applyFill="1" applyBorder="1"/>
    <xf numFmtId="0" fontId="0" fillId="3" borderId="8" xfId="0" applyNumberFormat="1" applyFont="1" applyFill="1" applyBorder="1"/>
    <xf numFmtId="0" fontId="0" fillId="0" borderId="4" xfId="0" applyBorder="1"/>
    <xf numFmtId="14" fontId="0" fillId="3" borderId="6" xfId="0" applyNumberFormat="1" applyFont="1" applyFill="1" applyBorder="1"/>
    <xf numFmtId="14" fontId="0" fillId="4" borderId="8" xfId="0" applyNumberFormat="1" applyFont="1" applyFill="1" applyBorder="1"/>
    <xf numFmtId="14" fontId="0" fillId="3" borderId="8" xfId="0" applyNumberFormat="1" applyFont="1" applyFill="1" applyBorder="1"/>
    <xf numFmtId="0" fontId="0" fillId="3" borderId="5" xfId="0" applyNumberFormat="1" applyFont="1" applyFill="1" applyBorder="1"/>
    <xf numFmtId="0" fontId="0" fillId="4" borderId="7" xfId="0" applyNumberFormat="1" applyFont="1" applyFill="1" applyBorder="1"/>
    <xf numFmtId="0" fontId="0" fillId="3" borderId="7" xfId="0" applyNumberFormat="1" applyFont="1" applyFill="1" applyBorder="1"/>
    <xf numFmtId="0" fontId="0" fillId="0" borderId="12" xfId="0" applyBorder="1"/>
    <xf numFmtId="0" fontId="0" fillId="0" borderId="2" xfId="0" applyBorder="1"/>
    <xf numFmtId="0" fontId="1" fillId="2" borderId="2" xfId="0" applyFont="1" applyFill="1" applyBorder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8" xfId="0" applyBorder="1" applyAlignment="1"/>
    <xf numFmtId="14" fontId="0" fillId="4" borderId="5" xfId="0" applyNumberFormat="1" applyFont="1" applyFill="1" applyBorder="1"/>
    <xf numFmtId="0" fontId="0" fillId="4" borderId="6" xfId="0" applyFont="1" applyFill="1" applyBorder="1"/>
    <xf numFmtId="0" fontId="0" fillId="4" borderId="6" xfId="0" applyNumberFormat="1" applyFont="1" applyFill="1" applyBorder="1"/>
    <xf numFmtId="0" fontId="0" fillId="4" borderId="0" xfId="0" applyNumberFormat="1" applyFont="1" applyFill="1" applyBorder="1"/>
    <xf numFmtId="14" fontId="0" fillId="4" borderId="0" xfId="0" applyNumberFormat="1" applyFont="1" applyFill="1" applyBorder="1"/>
    <xf numFmtId="0" fontId="2" fillId="4" borderId="8" xfId="0" applyNumberFormat="1" applyFont="1" applyFill="1" applyBorder="1"/>
    <xf numFmtId="0" fontId="2" fillId="3" borderId="8" xfId="0" applyNumberFormat="1" applyFont="1" applyFill="1" applyBorder="1"/>
    <xf numFmtId="0" fontId="2" fillId="4" borderId="0" xfId="0" applyNumberFormat="1" applyFont="1" applyFill="1" applyBorder="1"/>
    <xf numFmtId="0" fontId="0" fillId="4" borderId="10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0" fontId="0" fillId="0" borderId="19" xfId="0" applyNumberFormat="1" applyBorder="1"/>
    <xf numFmtId="0" fontId="0" fillId="0" borderId="20" xfId="0" applyBorder="1"/>
    <xf numFmtId="0" fontId="0" fillId="0" borderId="21" xfId="0" applyBorder="1"/>
    <xf numFmtId="10" fontId="0" fillId="0" borderId="22" xfId="0" applyNumberFormat="1" applyBorder="1"/>
    <xf numFmtId="0" fontId="1" fillId="2" borderId="10" xfId="0" applyFont="1" applyFill="1" applyBorder="1"/>
    <xf numFmtId="0" fontId="0" fillId="3" borderId="10" xfId="0" applyFont="1" applyFill="1" applyBorder="1"/>
  </cellXfs>
  <cellStyles count="1">
    <cellStyle name="Normal" xfId="0" builtinId="0"/>
  </cellStyles>
  <dxfs count="17">
    <dxf>
      <numFmt numFmtId="14" formatCode="0.00%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10805</xdr:colOff>
      <xdr:row>8</xdr:row>
      <xdr:rowOff>161124</xdr:rowOff>
    </xdr:from>
    <xdr:to>
      <xdr:col>18</xdr:col>
      <xdr:colOff>13847</xdr:colOff>
      <xdr:row>21</xdr:row>
      <xdr:rowOff>161365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C6FC27-DEFB-CC14-D6AD-D173B50785A1}"/>
            </a:ext>
          </a:extLst>
        </xdr:cNvPr>
        <xdr:cNvSpPr txBox="1"/>
      </xdr:nvSpPr>
      <xdr:spPr>
        <a:xfrm>
          <a:off x="10965676" y="1613406"/>
          <a:ext cx="4879842" cy="233106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ysClr val="windowText" lastClr="000000"/>
              </a:solidFill>
            </a:rPr>
            <a:t>*Insights</a:t>
          </a:r>
          <a:r>
            <a:rPr lang="en-IN" sz="1400" baseline="0">
              <a:solidFill>
                <a:sysClr val="windowText" lastClr="000000"/>
              </a:solidFill>
            </a:rPr>
            <a:t> :---</a:t>
          </a:r>
        </a:p>
        <a:p>
          <a:endParaRPr lang="en-IN" sz="1400" baseline="0">
            <a:solidFill>
              <a:sysClr val="windowText" lastClr="000000"/>
            </a:solidFill>
          </a:endParaRPr>
        </a:p>
        <a:p>
          <a:r>
            <a:rPr lang="en-IN" sz="1400" baseline="0">
              <a:solidFill>
                <a:sysClr val="windowText" lastClr="000000"/>
              </a:solidFill>
            </a:rPr>
            <a:t>&lt;&gt; The StyleRevolution Campaign had the highest ROI, as it secured a higher enagagement upliftment compared to the others.</a:t>
          </a:r>
        </a:p>
        <a:p>
          <a:endParaRPr lang="en-IN" sz="1400" baseline="0">
            <a:solidFill>
              <a:sysClr val="windowText" lastClr="000000"/>
            </a:solidFill>
          </a:endParaRPr>
        </a:p>
        <a:p>
          <a:r>
            <a:rPr lang="en-IN" sz="1400" baseline="0">
              <a:solidFill>
                <a:sysClr val="windowText" lastClr="000000"/>
              </a:solidFill>
            </a:rPr>
            <a:t>&lt;&gt; StyleRevolution Campaign had the strongest follower growth as well (Source : Sorting the Engagement Summary Data by New followers, matching up dates and checking total followers along with the given metrics).</a:t>
          </a:r>
          <a:endParaRPr lang="en-IN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49D794-4817-4AD8-8DBC-11AC70A82793}" name="Table7" displayName="Table7" ref="H2:K11" totalsRowShown="0" headerRowDxfId="9" dataDxfId="8" headerRowBorderDxfId="15" tableBorderDxfId="16" totalsRowBorderDxfId="14">
  <tableColumns count="4">
    <tableColumn id="1" xr3:uid="{C2DF210C-FFCE-4E79-BDEA-50D4F5517232}" name="Campaign Name" dataDxfId="13"/>
    <tableColumn id="2" xr3:uid="{EF046291-50B8-47CE-903D-A4BD3C27420E}" name="Total Likes" dataDxfId="12"/>
    <tableColumn id="3" xr3:uid="{BBBB996F-C715-4FA9-84DB-5878F7E244FE}" name="Total Impresssions" dataDxfId="11"/>
    <tableColumn id="5" xr3:uid="{1CE3B88D-2137-4A09-A3DA-ACA4C9D0301D}" name="Total Clicks" dataDxfId="10"/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F444B5-A2FE-41B3-8D22-D2C5315E5A71}" name="Table8" displayName="Table8" ref="H14:K23" totalsRowShown="0">
  <autoFilter ref="H14:K23" xr:uid="{52F444B5-A2FE-41B3-8D22-D2C5315E5A71}">
    <filterColumn colId="0" hiddenButton="1"/>
    <filterColumn colId="1" hiddenButton="1"/>
    <filterColumn colId="2" hiddenButton="1"/>
    <filterColumn colId="3" hiddenButton="1"/>
  </autoFilter>
  <tableColumns count="4">
    <tableColumn id="1" xr3:uid="{3FD21BD6-6C71-4C0D-B836-4991584097E6}" name="Campaign Name"/>
    <tableColumn id="2" xr3:uid="{EC6B58F7-38AA-46C2-B9F4-698A13E0693C}" name="Average Likes"/>
    <tableColumn id="3" xr3:uid="{A7CF3513-E2E1-487A-AD29-64D55C0692E7}" name="Average Impresssions"/>
    <tableColumn id="4" xr3:uid="{A1A6CB75-FFBA-471E-90A0-CB6A9C0C92E1}" name="Average Clicks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F4CABA5-FC5B-496C-BD74-F491C6126895}" name="Table19" displayName="Table19" ref="F8:I17" totalsRowShown="0" headerRowDxfId="2" headerRowBorderDxfId="6" tableBorderDxfId="7" totalsRowBorderDxfId="5">
  <autoFilter ref="F8:I17" xr:uid="{4F4CABA5-FC5B-496C-BD74-F491C6126895}">
    <filterColumn colId="0" hiddenButton="1"/>
    <filterColumn colId="1" hiddenButton="1"/>
    <filterColumn colId="2" hiddenButton="1"/>
    <filterColumn colId="3" hiddenButton="1"/>
  </autoFilter>
  <tableColumns count="4">
    <tableColumn id="1" xr3:uid="{509B25CE-604D-47E0-A64C-C10DFA2066DD}" name="Campaign Name" dataDxfId="4"/>
    <tableColumn id="2" xr3:uid="{76BDE183-470B-4C64-A70D-BD118FCACBF2}" name="ER (Before)" dataDxfId="3"/>
    <tableColumn id="3" xr3:uid="{A8CE58D8-AD26-4127-9FAA-43F0D614619D}" name="ER (During)" dataDxfId="1"/>
    <tableColumn id="4" xr3:uid="{E24D93D5-0D05-4746-81C1-CE3DCD7B0788}" name="Engagement Upliftmen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D938-239B-466A-AD3D-97C2631013A3}">
  <dimension ref="A1:K301"/>
  <sheetViews>
    <sheetView zoomScale="88" zoomScaleNormal="88" workbookViewId="0">
      <selection activeCell="H30" sqref="H30"/>
    </sheetView>
  </sheetViews>
  <sheetFormatPr defaultRowHeight="14.4" x14ac:dyDescent="0.3"/>
  <cols>
    <col min="1" max="1" width="10.33203125" bestFit="1" customWidth="1"/>
    <col min="2" max="2" width="7.33203125" bestFit="1" customWidth="1"/>
    <col min="3" max="3" width="13.21875" bestFit="1" customWidth="1"/>
    <col min="4" max="4" width="7.88671875" bestFit="1" customWidth="1"/>
    <col min="5" max="5" width="17.77734375" bestFit="1" customWidth="1"/>
    <col min="6" max="6" width="18.109375" style="11" bestFit="1" customWidth="1"/>
    <col min="7" max="7" width="15.33203125" customWidth="1"/>
    <col min="8" max="8" width="16" customWidth="1"/>
    <col min="9" max="9" width="12.5546875" customWidth="1"/>
    <col min="10" max="10" width="19.109375" customWidth="1"/>
    <col min="11" max="11" width="13.33203125" customWidth="1"/>
    <col min="12" max="12" width="15.5546875" customWidth="1"/>
    <col min="13" max="13" width="12.44140625" customWidth="1"/>
    <col min="14" max="14" width="19.5546875" customWidth="1"/>
    <col min="15" max="15" width="12.6640625" customWidth="1"/>
  </cols>
  <sheetData>
    <row r="1" spans="1:11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</v>
      </c>
    </row>
    <row r="2" spans="1:11" ht="15" thickTop="1" x14ac:dyDescent="0.3">
      <c r="A2" s="31">
        <v>45444</v>
      </c>
      <c r="B2" s="32">
        <v>1272</v>
      </c>
      <c r="C2" s="32">
        <v>24168</v>
      </c>
      <c r="D2" s="32">
        <v>42</v>
      </c>
      <c r="E2" s="33" t="s">
        <v>6</v>
      </c>
      <c r="F2" s="32">
        <v>7.5968222442899705E-2</v>
      </c>
      <c r="H2" s="21" t="s">
        <v>12</v>
      </c>
      <c r="I2" s="22" t="s">
        <v>13</v>
      </c>
      <c r="J2" s="22" t="s">
        <v>14</v>
      </c>
      <c r="K2" s="23" t="s">
        <v>15</v>
      </c>
    </row>
    <row r="3" spans="1:11" x14ac:dyDescent="0.3">
      <c r="A3" s="5">
        <v>45445</v>
      </c>
      <c r="B3" s="6">
        <v>1871</v>
      </c>
      <c r="C3" s="6">
        <v>29936</v>
      </c>
      <c r="D3" s="6">
        <v>288</v>
      </c>
      <c r="E3" s="7" t="s">
        <v>6</v>
      </c>
      <c r="F3" s="6">
        <v>8.2108498129342594E-2</v>
      </c>
      <c r="H3" s="24"/>
      <c r="I3" s="25"/>
      <c r="J3" s="25"/>
      <c r="K3" s="26"/>
    </row>
    <row r="4" spans="1:11" x14ac:dyDescent="0.3">
      <c r="A4" s="5">
        <v>45445</v>
      </c>
      <c r="B4" s="6">
        <v>84</v>
      </c>
      <c r="C4" s="6">
        <v>588</v>
      </c>
      <c r="D4" s="6">
        <v>12</v>
      </c>
      <c r="E4" s="7" t="s">
        <v>6</v>
      </c>
      <c r="F4" s="6">
        <v>1.8129251700680271</v>
      </c>
      <c r="H4" s="24" t="s">
        <v>5</v>
      </c>
      <c r="I4" s="24">
        <f>SUMIF(E:E,"FashionUpgrade",B:B)</f>
        <v>212431</v>
      </c>
      <c r="J4" s="27">
        <f>SUMIF(E:E,"FashionUpgrade",C:C)</f>
        <v>2788367</v>
      </c>
      <c r="K4" s="26">
        <f>SUMIF(E:E,"FashionUpgrade",D:D)</f>
        <v>11191</v>
      </c>
    </row>
    <row r="5" spans="1:11" x14ac:dyDescent="0.3">
      <c r="A5" s="5">
        <v>45446</v>
      </c>
      <c r="B5" s="6">
        <v>3861</v>
      </c>
      <c r="C5" s="6">
        <v>69498</v>
      </c>
      <c r="D5" s="6">
        <v>297</v>
      </c>
      <c r="E5" s="7" t="s">
        <v>6</v>
      </c>
      <c r="F5" s="6">
        <v>7.0822181933293038E-2</v>
      </c>
      <c r="H5" s="24"/>
      <c r="I5" s="25"/>
      <c r="J5" s="25"/>
      <c r="K5" s="26"/>
    </row>
    <row r="6" spans="1:11" x14ac:dyDescent="0.3">
      <c r="A6" s="8">
        <v>45449</v>
      </c>
      <c r="B6" s="9">
        <v>1436</v>
      </c>
      <c r="C6" s="9">
        <v>12924</v>
      </c>
      <c r="D6" s="9">
        <v>197</v>
      </c>
      <c r="E6" s="10" t="s">
        <v>6</v>
      </c>
      <c r="F6" s="9">
        <v>0.20868152274837512</v>
      </c>
      <c r="H6" s="24" t="s">
        <v>6</v>
      </c>
      <c r="I6" s="25">
        <f>SUMIF(E:E,"EndOfSeasonSale",B:B)</f>
        <v>232785</v>
      </c>
      <c r="J6" s="25">
        <f>SUMIF(E:E,"EndOfSeasonSale",C:C)</f>
        <v>2886292</v>
      </c>
      <c r="K6" s="26">
        <f>SUMIF(E:E,"EndOfSeasonSale",D:D)</f>
        <v>12376</v>
      </c>
    </row>
    <row r="7" spans="1:11" x14ac:dyDescent="0.3">
      <c r="A7" s="5">
        <v>45449</v>
      </c>
      <c r="B7" s="6">
        <v>2728</v>
      </c>
      <c r="C7" s="6">
        <v>40920</v>
      </c>
      <c r="D7" s="6">
        <v>137</v>
      </c>
      <c r="E7" s="7" t="s">
        <v>6</v>
      </c>
      <c r="F7" s="6">
        <v>8.4946236559139784E-2</v>
      </c>
      <c r="H7" s="24"/>
      <c r="I7" s="25"/>
      <c r="J7" s="25"/>
      <c r="K7" s="26"/>
    </row>
    <row r="8" spans="1:11" x14ac:dyDescent="0.3">
      <c r="A8" s="5">
        <v>45450</v>
      </c>
      <c r="B8" s="6">
        <v>1556</v>
      </c>
      <c r="C8" s="6">
        <v>9336</v>
      </c>
      <c r="D8" s="6">
        <v>137</v>
      </c>
      <c r="E8" s="7" t="s">
        <v>6</v>
      </c>
      <c r="F8" s="6">
        <v>0.2015852613538989</v>
      </c>
      <c r="H8" s="24" t="s">
        <v>7</v>
      </c>
      <c r="I8" s="25">
        <f>SUMIF(E:E,"MyntraFestiveEdit",B:B)</f>
        <v>198666</v>
      </c>
      <c r="J8" s="25">
        <f>SUMIF(E:E,"MyntraFestiveEdit",C:C)</f>
        <v>2611652</v>
      </c>
      <c r="K8" s="26">
        <f>SUMIF(E:E,"MyntraFestiveEdit",D:D)</f>
        <v>12464</v>
      </c>
    </row>
    <row r="9" spans="1:11" x14ac:dyDescent="0.3">
      <c r="A9" s="8">
        <v>45455</v>
      </c>
      <c r="B9" s="9">
        <v>246</v>
      </c>
      <c r="C9" s="9">
        <v>4674</v>
      </c>
      <c r="D9" s="9">
        <v>217</v>
      </c>
      <c r="E9" s="10" t="s">
        <v>6</v>
      </c>
      <c r="F9" s="9">
        <v>0.11232349165596919</v>
      </c>
      <c r="H9" s="24"/>
      <c r="I9" s="25"/>
      <c r="J9" s="25"/>
      <c r="K9" s="26"/>
    </row>
    <row r="10" spans="1:11" x14ac:dyDescent="0.3">
      <c r="A10" s="5">
        <v>45456</v>
      </c>
      <c r="B10" s="6">
        <v>2103</v>
      </c>
      <c r="C10" s="6">
        <v>39957</v>
      </c>
      <c r="D10" s="6">
        <v>28</v>
      </c>
      <c r="E10" s="7" t="s">
        <v>6</v>
      </c>
      <c r="F10" s="6">
        <v>7.7533348349475686E-2</v>
      </c>
      <c r="H10" s="28" t="s">
        <v>8</v>
      </c>
      <c r="I10" s="29">
        <f>SUMIF(E:E,"StyleRevolution",B:B)</f>
        <v>176109</v>
      </c>
      <c r="J10" s="29">
        <f>SUMIF(E:E,"StyleRevolution",C:C)</f>
        <v>2107842</v>
      </c>
      <c r="K10" s="30">
        <f>SUMIF(E:E,"StyleRevolution",D:D)</f>
        <v>9335</v>
      </c>
    </row>
    <row r="11" spans="1:11" x14ac:dyDescent="0.3">
      <c r="A11" s="8">
        <v>45457</v>
      </c>
      <c r="B11" s="9">
        <v>4363</v>
      </c>
      <c r="C11" s="9">
        <v>21815</v>
      </c>
      <c r="D11" s="9">
        <v>157</v>
      </c>
      <c r="E11" s="10" t="s">
        <v>6</v>
      </c>
      <c r="F11" s="9">
        <v>0.23616777446710979</v>
      </c>
      <c r="H11" s="28"/>
      <c r="I11" s="29"/>
      <c r="J11" s="29"/>
      <c r="K11" s="30"/>
    </row>
    <row r="12" spans="1:11" x14ac:dyDescent="0.3">
      <c r="A12" s="5">
        <v>45463</v>
      </c>
      <c r="B12" s="6">
        <v>3798</v>
      </c>
      <c r="C12" s="6">
        <v>75960</v>
      </c>
      <c r="D12" s="6">
        <v>266</v>
      </c>
      <c r="E12" s="7" t="s">
        <v>6</v>
      </c>
      <c r="F12" s="6">
        <v>5.4081095313322801E-2</v>
      </c>
    </row>
    <row r="13" spans="1:11" x14ac:dyDescent="0.3">
      <c r="A13" s="5">
        <v>45467</v>
      </c>
      <c r="B13" s="6">
        <v>941</v>
      </c>
      <c r="C13" s="6">
        <v>14115</v>
      </c>
      <c r="D13" s="6">
        <v>87</v>
      </c>
      <c r="E13" s="7" t="s">
        <v>6</v>
      </c>
      <c r="F13" s="6">
        <v>0.10768685795253277</v>
      </c>
    </row>
    <row r="14" spans="1:11" x14ac:dyDescent="0.3">
      <c r="A14" s="8">
        <v>45476</v>
      </c>
      <c r="B14" s="9">
        <v>4799</v>
      </c>
      <c r="C14" s="9">
        <v>43191</v>
      </c>
      <c r="D14" s="9">
        <v>118</v>
      </c>
      <c r="E14" s="10" t="s">
        <v>6</v>
      </c>
      <c r="F14" s="9">
        <v>0.13387048227640017</v>
      </c>
      <c r="H14" t="s">
        <v>12</v>
      </c>
      <c r="I14" t="s">
        <v>16</v>
      </c>
      <c r="J14" s="18" t="s">
        <v>17</v>
      </c>
      <c r="K14" t="s">
        <v>18</v>
      </c>
    </row>
    <row r="15" spans="1:11" x14ac:dyDescent="0.3">
      <c r="A15" s="5">
        <v>45480</v>
      </c>
      <c r="B15" s="6">
        <v>302</v>
      </c>
      <c r="C15" s="6">
        <v>5738</v>
      </c>
      <c r="D15" s="6">
        <v>25</v>
      </c>
      <c r="E15" s="7" t="s">
        <v>6</v>
      </c>
      <c r="F15" s="6">
        <v>0.13576158940397351</v>
      </c>
    </row>
    <row r="16" spans="1:11" x14ac:dyDescent="0.3">
      <c r="A16" s="8">
        <v>45491</v>
      </c>
      <c r="B16" s="9">
        <v>827</v>
      </c>
      <c r="C16" s="9">
        <v>14886</v>
      </c>
      <c r="D16" s="9">
        <v>254</v>
      </c>
      <c r="E16" s="10" t="s">
        <v>6</v>
      </c>
      <c r="F16" s="9">
        <v>8.7733440816874911E-2</v>
      </c>
      <c r="H16" t="s">
        <v>5</v>
      </c>
      <c r="I16">
        <f>AVERAGEIF(E:E,"FashionUpgrade",B:B)</f>
        <v>2950.4305555555557</v>
      </c>
      <c r="J16">
        <f>AVERAGEIF(E:E,"FashionUpgrade",C:C)</f>
        <v>38727.319444444445</v>
      </c>
      <c r="K16">
        <f>AVERAGEIF(E:E,"FashionUpgrade",D:D)</f>
        <v>155.43055555555554</v>
      </c>
    </row>
    <row r="17" spans="1:11" x14ac:dyDescent="0.3">
      <c r="A17" s="5">
        <v>45502</v>
      </c>
      <c r="B17" s="6">
        <v>3523</v>
      </c>
      <c r="C17" s="6">
        <v>38753</v>
      </c>
      <c r="D17" s="6">
        <v>270</v>
      </c>
      <c r="E17" s="7" t="s">
        <v>6</v>
      </c>
      <c r="F17" s="6">
        <v>0.12277759141227776</v>
      </c>
    </row>
    <row r="18" spans="1:11" x14ac:dyDescent="0.3">
      <c r="A18" s="5">
        <v>45509</v>
      </c>
      <c r="B18" s="6">
        <v>3601</v>
      </c>
      <c r="C18" s="6">
        <v>21606</v>
      </c>
      <c r="D18" s="6">
        <v>172</v>
      </c>
      <c r="E18" s="7" t="s">
        <v>6</v>
      </c>
      <c r="F18" s="6">
        <v>0.2023049153013052</v>
      </c>
      <c r="H18" t="s">
        <v>6</v>
      </c>
      <c r="I18">
        <f>AVERAGEIF(E:E,"EndOfSeasonSale",B:B)</f>
        <v>2804.6385542168673</v>
      </c>
      <c r="J18">
        <f>AVERAGEIF(E:E,"EndOfSeasonSale",C:C)</f>
        <v>34774.602409638552</v>
      </c>
      <c r="K18">
        <f>AVERAGEIF(E:E,"EndOfSeasonSale",D:D)</f>
        <v>149.10843373493975</v>
      </c>
    </row>
    <row r="19" spans="1:11" x14ac:dyDescent="0.3">
      <c r="A19" s="5">
        <v>45511</v>
      </c>
      <c r="B19" s="6">
        <v>1741</v>
      </c>
      <c r="C19" s="6">
        <v>8705</v>
      </c>
      <c r="D19" s="6">
        <v>121</v>
      </c>
      <c r="E19" s="7" t="s">
        <v>6</v>
      </c>
      <c r="F19" s="6">
        <v>0.25537047673750718</v>
      </c>
    </row>
    <row r="20" spans="1:11" x14ac:dyDescent="0.3">
      <c r="A20" s="5">
        <v>45515</v>
      </c>
      <c r="B20" s="6">
        <v>1762</v>
      </c>
      <c r="C20" s="6">
        <v>22906</v>
      </c>
      <c r="D20" s="6">
        <v>25</v>
      </c>
      <c r="E20" s="7" t="s">
        <v>6</v>
      </c>
      <c r="F20" s="6">
        <v>0.11307081114118571</v>
      </c>
      <c r="H20" t="s">
        <v>7</v>
      </c>
      <c r="I20">
        <f>AVERAGEIF(E:E,"MyntraFestiveEdit",B:B)</f>
        <v>2547</v>
      </c>
      <c r="J20">
        <f>AVERAGEIF(E:E,"MyntraFestiveEdit",C:C)</f>
        <v>33482.717948717946</v>
      </c>
      <c r="K20">
        <f>AVERAGEIF(E:E,"MyntraFestiveEdit",D:D)</f>
        <v>159.7948717948718</v>
      </c>
    </row>
    <row r="21" spans="1:11" x14ac:dyDescent="0.3">
      <c r="A21" s="8">
        <v>45517</v>
      </c>
      <c r="B21" s="9">
        <v>4739</v>
      </c>
      <c r="C21" s="9">
        <v>61607</v>
      </c>
      <c r="D21" s="9">
        <v>36</v>
      </c>
      <c r="E21" s="10" t="s">
        <v>6</v>
      </c>
      <c r="F21" s="9">
        <v>8.7668609086629767E-2</v>
      </c>
    </row>
    <row r="22" spans="1:11" x14ac:dyDescent="0.3">
      <c r="A22" s="5">
        <v>45521</v>
      </c>
      <c r="B22" s="6">
        <v>2878</v>
      </c>
      <c r="C22" s="6">
        <v>43170</v>
      </c>
      <c r="D22" s="6">
        <v>75</v>
      </c>
      <c r="E22" s="7" t="s">
        <v>6</v>
      </c>
      <c r="F22" s="6">
        <v>8.2047718322909427E-2</v>
      </c>
      <c r="H22" t="s">
        <v>8</v>
      </c>
      <c r="I22">
        <f>AVERAGEIF(E:E,"StyleRevolution",B:B)</f>
        <v>2628.4925373134329</v>
      </c>
      <c r="J22">
        <f>AVERAGEIF(E:E,"StyleRevolution",C:C)</f>
        <v>31460.328358208953</v>
      </c>
      <c r="K22">
        <f>AVERAGEIF(E:E,"StyleRevolution",D:D)</f>
        <v>139.32835820895522</v>
      </c>
    </row>
    <row r="23" spans="1:11" x14ac:dyDescent="0.3">
      <c r="A23" s="5">
        <v>45523</v>
      </c>
      <c r="B23" s="6">
        <v>3000</v>
      </c>
      <c r="C23" s="6">
        <v>36000</v>
      </c>
      <c r="D23" s="6">
        <v>19</v>
      </c>
      <c r="E23" s="7" t="s">
        <v>6</v>
      </c>
      <c r="F23" s="6">
        <v>0.10297222222222223</v>
      </c>
    </row>
    <row r="24" spans="1:11" x14ac:dyDescent="0.3">
      <c r="A24" s="5">
        <v>45526</v>
      </c>
      <c r="B24" s="6">
        <v>4295</v>
      </c>
      <c r="C24" s="6">
        <v>85900</v>
      </c>
      <c r="D24" s="6">
        <v>290</v>
      </c>
      <c r="E24" s="7" t="s">
        <v>6</v>
      </c>
      <c r="F24" s="6">
        <v>6.3713620488940623E-2</v>
      </c>
    </row>
    <row r="25" spans="1:11" x14ac:dyDescent="0.3">
      <c r="A25" s="8">
        <v>45530</v>
      </c>
      <c r="B25" s="9">
        <v>2581</v>
      </c>
      <c r="C25" s="9">
        <v>23229</v>
      </c>
      <c r="D25" s="9">
        <v>70</v>
      </c>
      <c r="E25" s="10" t="s">
        <v>6</v>
      </c>
      <c r="F25" s="9">
        <v>0.13840458048129492</v>
      </c>
    </row>
    <row r="26" spans="1:11" x14ac:dyDescent="0.3">
      <c r="A26" s="8">
        <v>45537</v>
      </c>
      <c r="B26" s="9">
        <v>2551</v>
      </c>
      <c r="C26" s="9">
        <v>30612</v>
      </c>
      <c r="D26" s="9">
        <v>227</v>
      </c>
      <c r="E26" s="10" t="s">
        <v>6</v>
      </c>
      <c r="F26" s="9">
        <v>0.1199202926956749</v>
      </c>
    </row>
    <row r="27" spans="1:11" x14ac:dyDescent="0.3">
      <c r="A27" s="5">
        <v>45549</v>
      </c>
      <c r="B27" s="6">
        <v>1048</v>
      </c>
      <c r="C27" s="6">
        <v>9432</v>
      </c>
      <c r="D27" s="6">
        <v>158</v>
      </c>
      <c r="E27" s="7" t="s">
        <v>6</v>
      </c>
      <c r="F27" s="6">
        <v>0.19847328244274809</v>
      </c>
    </row>
    <row r="28" spans="1:11" x14ac:dyDescent="0.3">
      <c r="A28" s="5">
        <v>45552</v>
      </c>
      <c r="B28" s="6">
        <v>571</v>
      </c>
      <c r="C28" s="6">
        <v>9707</v>
      </c>
      <c r="D28" s="6">
        <v>231</v>
      </c>
      <c r="E28" s="7" t="s">
        <v>6</v>
      </c>
      <c r="F28" s="6">
        <v>0.11465952405480581</v>
      </c>
    </row>
    <row r="29" spans="1:11" x14ac:dyDescent="0.3">
      <c r="A29" s="5">
        <v>45560</v>
      </c>
      <c r="B29" s="6">
        <v>3389</v>
      </c>
      <c r="C29" s="6">
        <v>20334</v>
      </c>
      <c r="D29" s="6">
        <v>228</v>
      </c>
      <c r="E29" s="7" t="s">
        <v>6</v>
      </c>
      <c r="F29" s="6">
        <v>0.19484607062063539</v>
      </c>
    </row>
    <row r="30" spans="1:11" x14ac:dyDescent="0.3">
      <c r="A30" s="5">
        <v>45567</v>
      </c>
      <c r="B30" s="6">
        <v>3432</v>
      </c>
      <c r="C30" s="6">
        <v>54912</v>
      </c>
      <c r="D30" s="6">
        <v>264</v>
      </c>
      <c r="E30" s="7" t="s">
        <v>6</v>
      </c>
      <c r="F30" s="6">
        <v>8.0565268065268064E-2</v>
      </c>
    </row>
    <row r="31" spans="1:11" x14ac:dyDescent="0.3">
      <c r="A31" s="8">
        <v>45567</v>
      </c>
      <c r="B31" s="9">
        <v>80</v>
      </c>
      <c r="C31" s="9">
        <v>1040</v>
      </c>
      <c r="D31" s="9">
        <v>117</v>
      </c>
      <c r="E31" s="10" t="s">
        <v>6</v>
      </c>
      <c r="F31" s="9">
        <v>0.50192307692307692</v>
      </c>
    </row>
    <row r="32" spans="1:11" x14ac:dyDescent="0.3">
      <c r="A32" s="5">
        <v>45567</v>
      </c>
      <c r="B32" s="6">
        <v>4350</v>
      </c>
      <c r="C32" s="6">
        <v>60900</v>
      </c>
      <c r="D32" s="6">
        <v>195</v>
      </c>
      <c r="E32" s="7" t="s">
        <v>6</v>
      </c>
      <c r="F32" s="6">
        <v>8.4203612479474554E-2</v>
      </c>
    </row>
    <row r="33" spans="1:6" x14ac:dyDescent="0.3">
      <c r="A33" s="5">
        <v>45574</v>
      </c>
      <c r="B33" s="6">
        <v>985</v>
      </c>
      <c r="C33" s="6">
        <v>6895</v>
      </c>
      <c r="D33" s="6">
        <v>64</v>
      </c>
      <c r="E33" s="7" t="s">
        <v>6</v>
      </c>
      <c r="F33" s="6">
        <v>0.31965192168237855</v>
      </c>
    </row>
    <row r="34" spans="1:6" x14ac:dyDescent="0.3">
      <c r="A34" s="5">
        <v>45576</v>
      </c>
      <c r="B34" s="6">
        <v>400</v>
      </c>
      <c r="C34" s="6">
        <v>6400</v>
      </c>
      <c r="D34" s="6">
        <v>160</v>
      </c>
      <c r="E34" s="7" t="s">
        <v>6</v>
      </c>
      <c r="F34" s="6">
        <v>0.23656250000000001</v>
      </c>
    </row>
    <row r="35" spans="1:6" x14ac:dyDescent="0.3">
      <c r="A35" s="8">
        <v>45577</v>
      </c>
      <c r="B35" s="9">
        <v>3641</v>
      </c>
      <c r="C35" s="9">
        <v>40051</v>
      </c>
      <c r="D35" s="9">
        <v>296</v>
      </c>
      <c r="E35" s="10" t="s">
        <v>6</v>
      </c>
      <c r="F35" s="9">
        <v>9.7700431949264685E-2</v>
      </c>
    </row>
    <row r="36" spans="1:6" x14ac:dyDescent="0.3">
      <c r="A36" s="8">
        <v>45583</v>
      </c>
      <c r="B36" s="9">
        <v>4450</v>
      </c>
      <c r="C36" s="9">
        <v>75650</v>
      </c>
      <c r="D36" s="9">
        <v>12</v>
      </c>
      <c r="E36" s="10" t="s">
        <v>6</v>
      </c>
      <c r="F36" s="9">
        <v>7.3707865168539333E-2</v>
      </c>
    </row>
    <row r="37" spans="1:6" x14ac:dyDescent="0.3">
      <c r="A37" s="8">
        <v>45586</v>
      </c>
      <c r="B37" s="9">
        <v>2825</v>
      </c>
      <c r="C37" s="9">
        <v>45200</v>
      </c>
      <c r="D37" s="9">
        <v>169</v>
      </c>
      <c r="E37" s="10" t="s">
        <v>6</v>
      </c>
      <c r="F37" s="9">
        <v>8.0862831858407078E-2</v>
      </c>
    </row>
    <row r="38" spans="1:6" x14ac:dyDescent="0.3">
      <c r="A38" s="8">
        <v>45586</v>
      </c>
      <c r="B38" s="9">
        <v>4840</v>
      </c>
      <c r="C38" s="9">
        <v>43560</v>
      </c>
      <c r="D38" s="9">
        <v>57</v>
      </c>
      <c r="E38" s="10" t="s">
        <v>6</v>
      </c>
      <c r="F38" s="9">
        <v>0.13106060606060607</v>
      </c>
    </row>
    <row r="39" spans="1:6" x14ac:dyDescent="0.3">
      <c r="A39" s="8">
        <v>45587</v>
      </c>
      <c r="B39" s="9">
        <v>4782</v>
      </c>
      <c r="C39" s="9">
        <v>86076</v>
      </c>
      <c r="D39" s="9">
        <v>19</v>
      </c>
      <c r="E39" s="10" t="s">
        <v>6</v>
      </c>
      <c r="F39" s="9">
        <v>6.4884520656164318E-2</v>
      </c>
    </row>
    <row r="40" spans="1:6" x14ac:dyDescent="0.3">
      <c r="A40" s="5">
        <v>45589</v>
      </c>
      <c r="B40" s="6">
        <v>4303</v>
      </c>
      <c r="C40" s="6">
        <v>86060</v>
      </c>
      <c r="D40" s="6">
        <v>14</v>
      </c>
      <c r="E40" s="7" t="s">
        <v>6</v>
      </c>
      <c r="F40" s="6">
        <v>5.8563792702765516E-2</v>
      </c>
    </row>
    <row r="41" spans="1:6" x14ac:dyDescent="0.3">
      <c r="A41" s="8">
        <v>45592</v>
      </c>
      <c r="B41" s="9">
        <v>4853</v>
      </c>
      <c r="C41" s="9">
        <v>72795</v>
      </c>
      <c r="D41" s="9">
        <v>170</v>
      </c>
      <c r="E41" s="10" t="s">
        <v>6</v>
      </c>
      <c r="F41" s="9">
        <v>8.2835359571399134E-2</v>
      </c>
    </row>
    <row r="42" spans="1:6" x14ac:dyDescent="0.3">
      <c r="A42" s="8">
        <v>45594</v>
      </c>
      <c r="B42" s="9">
        <v>2746</v>
      </c>
      <c r="C42" s="9">
        <v>32952</v>
      </c>
      <c r="D42" s="9">
        <v>147</v>
      </c>
      <c r="E42" s="10" t="s">
        <v>6</v>
      </c>
      <c r="F42" s="9">
        <v>9.422796795338674E-2</v>
      </c>
    </row>
    <row r="43" spans="1:6" x14ac:dyDescent="0.3">
      <c r="A43" s="5">
        <v>45596</v>
      </c>
      <c r="B43" s="6">
        <v>2945</v>
      </c>
      <c r="C43" s="6">
        <v>23560</v>
      </c>
      <c r="D43" s="6">
        <v>256</v>
      </c>
      <c r="E43" s="7" t="s">
        <v>6</v>
      </c>
      <c r="F43" s="6">
        <v>0.17954159592529711</v>
      </c>
    </row>
    <row r="44" spans="1:6" x14ac:dyDescent="0.3">
      <c r="A44" s="8">
        <v>45600</v>
      </c>
      <c r="B44" s="9">
        <v>1606</v>
      </c>
      <c r="C44" s="9">
        <v>20878</v>
      </c>
      <c r="D44" s="9">
        <v>219</v>
      </c>
      <c r="E44" s="10" t="s">
        <v>6</v>
      </c>
      <c r="F44" s="9">
        <v>0.11792317271769326</v>
      </c>
    </row>
    <row r="45" spans="1:6" x14ac:dyDescent="0.3">
      <c r="A45" s="5">
        <v>45600</v>
      </c>
      <c r="B45" s="6">
        <v>4551</v>
      </c>
      <c r="C45" s="6">
        <v>68265</v>
      </c>
      <c r="D45" s="6">
        <v>57</v>
      </c>
      <c r="E45" s="7" t="s">
        <v>6</v>
      </c>
      <c r="F45" s="6">
        <v>8.0158206987475278E-2</v>
      </c>
    </row>
    <row r="46" spans="1:6" x14ac:dyDescent="0.3">
      <c r="A46" s="8">
        <v>45601</v>
      </c>
      <c r="B46" s="9">
        <v>4561</v>
      </c>
      <c r="C46" s="9">
        <v>22805</v>
      </c>
      <c r="D46" s="9">
        <v>45</v>
      </c>
      <c r="E46" s="10" t="s">
        <v>6</v>
      </c>
      <c r="F46" s="9">
        <v>0.22157421618066214</v>
      </c>
    </row>
    <row r="47" spans="1:6" x14ac:dyDescent="0.3">
      <c r="A47" s="8">
        <v>45602</v>
      </c>
      <c r="B47" s="9">
        <v>4663</v>
      </c>
      <c r="C47" s="9">
        <v>69945</v>
      </c>
      <c r="D47" s="9">
        <v>35</v>
      </c>
      <c r="E47" s="10" t="s">
        <v>6</v>
      </c>
      <c r="F47" s="9">
        <v>7.1956537279290869E-2</v>
      </c>
    </row>
    <row r="48" spans="1:6" x14ac:dyDescent="0.3">
      <c r="A48" s="5">
        <v>45603</v>
      </c>
      <c r="B48" s="6">
        <v>2647</v>
      </c>
      <c r="C48" s="6">
        <v>18529</v>
      </c>
      <c r="D48" s="6">
        <v>46</v>
      </c>
      <c r="E48" s="7" t="s">
        <v>6</v>
      </c>
      <c r="F48" s="6">
        <v>0.16843866371633656</v>
      </c>
    </row>
    <row r="49" spans="1:6" x14ac:dyDescent="0.3">
      <c r="A49" s="8">
        <v>45604</v>
      </c>
      <c r="B49" s="9">
        <v>3182</v>
      </c>
      <c r="C49" s="9">
        <v>57276</v>
      </c>
      <c r="D49" s="9">
        <v>163</v>
      </c>
      <c r="E49" s="10" t="s">
        <v>6</v>
      </c>
      <c r="F49" s="9">
        <v>6.8108806480899509E-2</v>
      </c>
    </row>
    <row r="50" spans="1:6" x14ac:dyDescent="0.3">
      <c r="A50" s="5">
        <v>45613</v>
      </c>
      <c r="B50" s="6">
        <v>880</v>
      </c>
      <c r="C50" s="6">
        <v>12320</v>
      </c>
      <c r="D50" s="6">
        <v>238</v>
      </c>
      <c r="E50" s="7" t="s">
        <v>6</v>
      </c>
      <c r="F50" s="6">
        <v>0.12353896103896105</v>
      </c>
    </row>
    <row r="51" spans="1:6" x14ac:dyDescent="0.3">
      <c r="A51" s="8">
        <v>45621</v>
      </c>
      <c r="B51" s="9">
        <v>2120</v>
      </c>
      <c r="C51" s="9">
        <v>12720</v>
      </c>
      <c r="D51" s="9">
        <v>17</v>
      </c>
      <c r="E51" s="10" t="s">
        <v>6</v>
      </c>
      <c r="F51" s="9">
        <v>0.21745283018867925</v>
      </c>
    </row>
    <row r="52" spans="1:6" x14ac:dyDescent="0.3">
      <c r="A52" s="8">
        <v>45624</v>
      </c>
      <c r="B52" s="9">
        <v>4771</v>
      </c>
      <c r="C52" s="9">
        <v>57252</v>
      </c>
      <c r="D52" s="9">
        <v>150</v>
      </c>
      <c r="E52" s="10" t="s">
        <v>6</v>
      </c>
      <c r="F52" s="9">
        <v>9.859917557465242E-2</v>
      </c>
    </row>
    <row r="53" spans="1:6" x14ac:dyDescent="0.3">
      <c r="A53" s="8">
        <v>45624</v>
      </c>
      <c r="B53" s="9">
        <v>2751</v>
      </c>
      <c r="C53" s="9">
        <v>44016</v>
      </c>
      <c r="D53" s="9">
        <v>129</v>
      </c>
      <c r="E53" s="10" t="s">
        <v>6</v>
      </c>
      <c r="F53" s="9">
        <v>7.3018902217375503E-2</v>
      </c>
    </row>
    <row r="54" spans="1:6" x14ac:dyDescent="0.3">
      <c r="A54" s="8">
        <v>45626</v>
      </c>
      <c r="B54" s="9">
        <v>2509</v>
      </c>
      <c r="C54" s="9">
        <v>35126</v>
      </c>
      <c r="D54" s="9">
        <v>277</v>
      </c>
      <c r="E54" s="10" t="s">
        <v>6</v>
      </c>
      <c r="F54" s="9">
        <v>8.5520696919660646E-2</v>
      </c>
    </row>
    <row r="55" spans="1:6" x14ac:dyDescent="0.3">
      <c r="A55" s="8">
        <v>45637</v>
      </c>
      <c r="B55" s="9">
        <v>3239</v>
      </c>
      <c r="C55" s="9">
        <v>22673</v>
      </c>
      <c r="D55" s="9">
        <v>230</v>
      </c>
      <c r="E55" s="10" t="s">
        <v>6</v>
      </c>
      <c r="F55" s="9">
        <v>0.15405989502933004</v>
      </c>
    </row>
    <row r="56" spans="1:6" x14ac:dyDescent="0.3">
      <c r="A56" s="8">
        <v>45643</v>
      </c>
      <c r="B56" s="9">
        <v>360</v>
      </c>
      <c r="C56" s="9">
        <v>4680</v>
      </c>
      <c r="D56" s="9">
        <v>208</v>
      </c>
      <c r="E56" s="10" t="s">
        <v>6</v>
      </c>
      <c r="F56" s="9">
        <v>0.28696581196581195</v>
      </c>
    </row>
    <row r="57" spans="1:6" x14ac:dyDescent="0.3">
      <c r="A57" s="5">
        <v>45644</v>
      </c>
      <c r="B57" s="6">
        <v>2946</v>
      </c>
      <c r="C57" s="6">
        <v>29460</v>
      </c>
      <c r="D57" s="6">
        <v>60</v>
      </c>
      <c r="E57" s="7" t="s">
        <v>6</v>
      </c>
      <c r="F57" s="6">
        <v>0.12936184657162253</v>
      </c>
    </row>
    <row r="58" spans="1:6" x14ac:dyDescent="0.3">
      <c r="A58" s="5">
        <v>45658</v>
      </c>
      <c r="B58" s="6">
        <v>3535</v>
      </c>
      <c r="C58" s="6">
        <v>53025</v>
      </c>
      <c r="D58" s="6">
        <v>44</v>
      </c>
      <c r="E58" s="7" t="s">
        <v>6</v>
      </c>
      <c r="F58" s="6">
        <v>7.8849599245638849E-2</v>
      </c>
    </row>
    <row r="59" spans="1:6" x14ac:dyDescent="0.3">
      <c r="A59" s="8">
        <v>45667</v>
      </c>
      <c r="B59" s="9">
        <v>2214</v>
      </c>
      <c r="C59" s="9">
        <v>15498</v>
      </c>
      <c r="D59" s="9">
        <v>180</v>
      </c>
      <c r="E59" s="10" t="s">
        <v>6</v>
      </c>
      <c r="F59" s="9">
        <v>0.16873144921925409</v>
      </c>
    </row>
    <row r="60" spans="1:6" x14ac:dyDescent="0.3">
      <c r="A60" s="8">
        <v>45669</v>
      </c>
      <c r="B60" s="9">
        <v>4134</v>
      </c>
      <c r="C60" s="9">
        <v>41340</v>
      </c>
      <c r="D60" s="9">
        <v>177</v>
      </c>
      <c r="E60" s="10" t="s">
        <v>6</v>
      </c>
      <c r="F60" s="9">
        <v>0.12232704402515723</v>
      </c>
    </row>
    <row r="61" spans="1:6" x14ac:dyDescent="0.3">
      <c r="A61" s="5">
        <v>45680</v>
      </c>
      <c r="B61" s="6">
        <v>3961</v>
      </c>
      <c r="C61" s="6">
        <v>67337</v>
      </c>
      <c r="D61" s="6">
        <v>161</v>
      </c>
      <c r="E61" s="7" t="s">
        <v>6</v>
      </c>
      <c r="F61" s="6">
        <v>7.2070332803659209E-2</v>
      </c>
    </row>
    <row r="62" spans="1:6" x14ac:dyDescent="0.3">
      <c r="A62" s="8">
        <v>45685</v>
      </c>
      <c r="B62" s="9">
        <v>1188</v>
      </c>
      <c r="C62" s="9">
        <v>7128</v>
      </c>
      <c r="D62" s="9">
        <v>270</v>
      </c>
      <c r="E62" s="10" t="s">
        <v>6</v>
      </c>
      <c r="F62" s="9">
        <v>0.25701459034792368</v>
      </c>
    </row>
    <row r="63" spans="1:6" x14ac:dyDescent="0.3">
      <c r="A63" s="5">
        <v>45704</v>
      </c>
      <c r="B63" s="6">
        <v>1076</v>
      </c>
      <c r="C63" s="6">
        <v>11836</v>
      </c>
      <c r="D63" s="6">
        <v>104</v>
      </c>
      <c r="E63" s="7" t="s">
        <v>6</v>
      </c>
      <c r="F63" s="6">
        <v>0.14320716458262928</v>
      </c>
    </row>
    <row r="64" spans="1:6" x14ac:dyDescent="0.3">
      <c r="A64" s="8">
        <v>45707</v>
      </c>
      <c r="B64" s="9">
        <v>4671</v>
      </c>
      <c r="C64" s="9">
        <v>51381</v>
      </c>
      <c r="D64" s="9">
        <v>245</v>
      </c>
      <c r="E64" s="10" t="s">
        <v>6</v>
      </c>
      <c r="F64" s="9">
        <v>0.11508145034156594</v>
      </c>
    </row>
    <row r="65" spans="1:6" x14ac:dyDescent="0.3">
      <c r="A65" s="8">
        <v>45712</v>
      </c>
      <c r="B65" s="9">
        <v>4188</v>
      </c>
      <c r="C65" s="9">
        <v>20940</v>
      </c>
      <c r="D65" s="9">
        <v>102</v>
      </c>
      <c r="E65" s="10" t="s">
        <v>6</v>
      </c>
      <c r="F65" s="9">
        <v>0.25062082139446035</v>
      </c>
    </row>
    <row r="66" spans="1:6" x14ac:dyDescent="0.3">
      <c r="A66" s="5">
        <v>45715</v>
      </c>
      <c r="B66" s="6">
        <v>4934</v>
      </c>
      <c r="C66" s="6">
        <v>39472</v>
      </c>
      <c r="D66" s="6">
        <v>169</v>
      </c>
      <c r="E66" s="7" t="s">
        <v>6</v>
      </c>
      <c r="F66" s="6">
        <v>0.15355188488042157</v>
      </c>
    </row>
    <row r="67" spans="1:6" x14ac:dyDescent="0.3">
      <c r="A67" s="5">
        <v>45720</v>
      </c>
      <c r="B67" s="6">
        <v>432</v>
      </c>
      <c r="C67" s="6">
        <v>6912</v>
      </c>
      <c r="D67" s="6">
        <v>79</v>
      </c>
      <c r="E67" s="7" t="s">
        <v>6</v>
      </c>
      <c r="F67" s="6">
        <v>0.17057291666666666</v>
      </c>
    </row>
    <row r="68" spans="1:6" x14ac:dyDescent="0.3">
      <c r="A68" s="5">
        <v>45720</v>
      </c>
      <c r="B68" s="6">
        <v>1947</v>
      </c>
      <c r="C68" s="6">
        <v>21417</v>
      </c>
      <c r="D68" s="6">
        <v>186</v>
      </c>
      <c r="E68" s="7" t="s">
        <v>6</v>
      </c>
      <c r="F68" s="6">
        <v>0.13493953401503478</v>
      </c>
    </row>
    <row r="69" spans="1:6" x14ac:dyDescent="0.3">
      <c r="A69" s="8">
        <v>45722</v>
      </c>
      <c r="B69" s="9">
        <v>3592</v>
      </c>
      <c r="C69" s="9">
        <v>50288</v>
      </c>
      <c r="D69" s="9">
        <v>32</v>
      </c>
      <c r="E69" s="10" t="s">
        <v>6</v>
      </c>
      <c r="F69" s="9">
        <v>9.7001272669424113E-2</v>
      </c>
    </row>
    <row r="70" spans="1:6" x14ac:dyDescent="0.3">
      <c r="A70" s="5">
        <v>45723</v>
      </c>
      <c r="B70" s="6">
        <v>4750</v>
      </c>
      <c r="C70" s="6">
        <v>38000</v>
      </c>
      <c r="D70" s="6">
        <v>299</v>
      </c>
      <c r="E70" s="7" t="s">
        <v>6</v>
      </c>
      <c r="F70" s="6">
        <v>0.13989473684210527</v>
      </c>
    </row>
    <row r="71" spans="1:6" x14ac:dyDescent="0.3">
      <c r="A71" s="8">
        <v>45724</v>
      </c>
      <c r="B71" s="9">
        <v>2382</v>
      </c>
      <c r="C71" s="9">
        <v>38112</v>
      </c>
      <c r="D71" s="9">
        <v>249</v>
      </c>
      <c r="E71" s="10" t="s">
        <v>6</v>
      </c>
      <c r="F71" s="9">
        <v>7.2969143576826198E-2</v>
      </c>
    </row>
    <row r="72" spans="1:6" x14ac:dyDescent="0.3">
      <c r="A72" s="5">
        <v>45729</v>
      </c>
      <c r="B72" s="6">
        <v>1686</v>
      </c>
      <c r="C72" s="6">
        <v>18546</v>
      </c>
      <c r="D72" s="6">
        <v>52</v>
      </c>
      <c r="E72" s="7" t="s">
        <v>6</v>
      </c>
      <c r="F72" s="6">
        <v>0.16510298716704411</v>
      </c>
    </row>
    <row r="73" spans="1:6" x14ac:dyDescent="0.3">
      <c r="A73" s="8">
        <v>45737</v>
      </c>
      <c r="B73" s="9">
        <v>606</v>
      </c>
      <c r="C73" s="9">
        <v>7878</v>
      </c>
      <c r="D73" s="9">
        <v>239</v>
      </c>
      <c r="E73" s="10" t="s">
        <v>6</v>
      </c>
      <c r="F73" s="9">
        <v>0.23673521198273673</v>
      </c>
    </row>
    <row r="74" spans="1:6" x14ac:dyDescent="0.3">
      <c r="A74" s="8">
        <v>45738</v>
      </c>
      <c r="B74" s="9">
        <v>3166</v>
      </c>
      <c r="C74" s="9">
        <v>56988</v>
      </c>
      <c r="D74" s="9">
        <v>135</v>
      </c>
      <c r="E74" s="10" t="s">
        <v>6</v>
      </c>
      <c r="F74" s="9">
        <v>6.3118551273952411E-2</v>
      </c>
    </row>
    <row r="75" spans="1:6" x14ac:dyDescent="0.3">
      <c r="A75" s="8">
        <v>45740</v>
      </c>
      <c r="B75" s="9">
        <v>1263</v>
      </c>
      <c r="C75" s="9">
        <v>25260</v>
      </c>
      <c r="D75" s="9">
        <v>137</v>
      </c>
      <c r="E75" s="10" t="s">
        <v>6</v>
      </c>
      <c r="F75" s="9">
        <v>7.984956452889945E-2</v>
      </c>
    </row>
    <row r="76" spans="1:6" x14ac:dyDescent="0.3">
      <c r="A76" s="5">
        <v>45742</v>
      </c>
      <c r="B76" s="6">
        <v>1652</v>
      </c>
      <c r="C76" s="6">
        <v>29736</v>
      </c>
      <c r="D76" s="6">
        <v>215</v>
      </c>
      <c r="E76" s="7" t="s">
        <v>6</v>
      </c>
      <c r="F76" s="6">
        <v>7.055421038471886E-2</v>
      </c>
    </row>
    <row r="77" spans="1:6" x14ac:dyDescent="0.3">
      <c r="A77" s="5">
        <v>45743</v>
      </c>
      <c r="B77" s="6">
        <v>4941</v>
      </c>
      <c r="C77" s="6">
        <v>39528</v>
      </c>
      <c r="D77" s="6">
        <v>217</v>
      </c>
      <c r="E77" s="7" t="s">
        <v>6</v>
      </c>
      <c r="F77" s="6">
        <v>0.14220299534507186</v>
      </c>
    </row>
    <row r="78" spans="1:6" x14ac:dyDescent="0.3">
      <c r="A78" s="8">
        <v>45744</v>
      </c>
      <c r="B78" s="9">
        <v>1881</v>
      </c>
      <c r="C78" s="9">
        <v>20691</v>
      </c>
      <c r="D78" s="9">
        <v>289</v>
      </c>
      <c r="E78" s="10" t="s">
        <v>6</v>
      </c>
      <c r="F78" s="9">
        <v>0.11990720603160794</v>
      </c>
    </row>
    <row r="79" spans="1:6" x14ac:dyDescent="0.3">
      <c r="A79" s="5">
        <v>45744</v>
      </c>
      <c r="B79" s="6">
        <v>4158</v>
      </c>
      <c r="C79" s="6">
        <v>45738</v>
      </c>
      <c r="D79" s="6">
        <v>142</v>
      </c>
      <c r="E79" s="7" t="s">
        <v>6</v>
      </c>
      <c r="F79" s="6">
        <v>9.9829463465827106E-2</v>
      </c>
    </row>
    <row r="80" spans="1:6" x14ac:dyDescent="0.3">
      <c r="A80" s="5">
        <v>45748</v>
      </c>
      <c r="B80" s="6">
        <v>3430</v>
      </c>
      <c r="C80" s="6">
        <v>48020</v>
      </c>
      <c r="D80" s="6">
        <v>120</v>
      </c>
      <c r="E80" s="7" t="s">
        <v>6</v>
      </c>
      <c r="F80" s="6">
        <v>8.6630570595585168E-2</v>
      </c>
    </row>
    <row r="81" spans="1:6" x14ac:dyDescent="0.3">
      <c r="A81" s="5">
        <v>45750</v>
      </c>
      <c r="B81" s="6">
        <v>4054</v>
      </c>
      <c r="C81" s="6">
        <v>64864</v>
      </c>
      <c r="D81" s="6">
        <v>117</v>
      </c>
      <c r="E81" s="7" t="s">
        <v>6</v>
      </c>
      <c r="F81" s="6">
        <v>7.6097681302417369E-2</v>
      </c>
    </row>
    <row r="82" spans="1:6" x14ac:dyDescent="0.3">
      <c r="A82" s="5">
        <v>45752</v>
      </c>
      <c r="B82" s="6">
        <v>3009</v>
      </c>
      <c r="C82" s="6">
        <v>42126</v>
      </c>
      <c r="D82" s="6">
        <v>211</v>
      </c>
      <c r="E82" s="7" t="s">
        <v>6</v>
      </c>
      <c r="F82" s="6">
        <v>8.9730807577268201E-2</v>
      </c>
    </row>
    <row r="83" spans="1:6" x14ac:dyDescent="0.3">
      <c r="A83" s="5">
        <v>45762</v>
      </c>
      <c r="B83" s="6">
        <v>4133</v>
      </c>
      <c r="C83" s="6">
        <v>24798</v>
      </c>
      <c r="D83" s="6">
        <v>176</v>
      </c>
      <c r="E83" s="7" t="s">
        <v>6</v>
      </c>
      <c r="F83" s="6">
        <v>0.19864505202032423</v>
      </c>
    </row>
    <row r="84" spans="1:6" x14ac:dyDescent="0.3">
      <c r="A84" s="5">
        <v>45766</v>
      </c>
      <c r="B84" s="6">
        <v>4518</v>
      </c>
      <c r="C84" s="6">
        <v>67770</v>
      </c>
      <c r="D84" s="6">
        <v>31</v>
      </c>
      <c r="E84" s="7" t="s">
        <v>6</v>
      </c>
      <c r="F84" s="6">
        <v>7.6523535487678915E-2</v>
      </c>
    </row>
    <row r="85" spans="1:6" x14ac:dyDescent="0.3">
      <c r="A85" s="5">
        <v>45448</v>
      </c>
      <c r="B85" s="6">
        <v>3065</v>
      </c>
      <c r="C85" s="6">
        <v>18390</v>
      </c>
      <c r="D85" s="6">
        <v>200</v>
      </c>
      <c r="E85" s="7" t="s">
        <v>5</v>
      </c>
      <c r="F85" s="6">
        <v>0.21636759108210984</v>
      </c>
    </row>
    <row r="86" spans="1:6" x14ac:dyDescent="0.3">
      <c r="A86" s="8">
        <v>45453</v>
      </c>
      <c r="B86" s="9">
        <v>2164</v>
      </c>
      <c r="C86" s="9">
        <v>28132</v>
      </c>
      <c r="D86" s="9">
        <v>177</v>
      </c>
      <c r="E86" s="10" t="s">
        <v>5</v>
      </c>
      <c r="F86" s="9">
        <v>0.10617801791554102</v>
      </c>
    </row>
    <row r="87" spans="1:6" x14ac:dyDescent="0.3">
      <c r="A87" s="8">
        <v>45454</v>
      </c>
      <c r="B87" s="9">
        <v>3689</v>
      </c>
      <c r="C87" s="9">
        <v>40579</v>
      </c>
      <c r="D87" s="9">
        <v>212</v>
      </c>
      <c r="E87" s="10" t="s">
        <v>5</v>
      </c>
      <c r="F87" s="9">
        <v>9.9632815002833983E-2</v>
      </c>
    </row>
    <row r="88" spans="1:6" x14ac:dyDescent="0.3">
      <c r="A88" s="5">
        <v>45454</v>
      </c>
      <c r="B88" s="6">
        <v>1869</v>
      </c>
      <c r="C88" s="6">
        <v>14952</v>
      </c>
      <c r="D88" s="6">
        <v>275</v>
      </c>
      <c r="E88" s="7" t="s">
        <v>5</v>
      </c>
      <c r="F88" s="6">
        <v>0.18806848582129482</v>
      </c>
    </row>
    <row r="89" spans="1:6" x14ac:dyDescent="0.3">
      <c r="A89" s="8">
        <v>45465</v>
      </c>
      <c r="B89" s="9">
        <v>2180</v>
      </c>
      <c r="C89" s="9">
        <v>30520</v>
      </c>
      <c r="D89" s="9">
        <v>174</v>
      </c>
      <c r="E89" s="10" t="s">
        <v>5</v>
      </c>
      <c r="F89" s="9">
        <v>9.2726081258191345E-2</v>
      </c>
    </row>
    <row r="90" spans="1:6" x14ac:dyDescent="0.3">
      <c r="A90" s="5">
        <v>45465</v>
      </c>
      <c r="B90" s="6">
        <v>3813</v>
      </c>
      <c r="C90" s="6">
        <v>68634</v>
      </c>
      <c r="D90" s="6">
        <v>251</v>
      </c>
      <c r="E90" s="7" t="s">
        <v>5</v>
      </c>
      <c r="F90" s="6">
        <v>7.3170731707317069E-2</v>
      </c>
    </row>
    <row r="91" spans="1:6" x14ac:dyDescent="0.3">
      <c r="A91" s="5">
        <v>45467</v>
      </c>
      <c r="B91" s="6">
        <v>2949</v>
      </c>
      <c r="C91" s="6">
        <v>44235</v>
      </c>
      <c r="D91" s="6">
        <v>135</v>
      </c>
      <c r="E91" s="7" t="s">
        <v>5</v>
      </c>
      <c r="F91" s="6">
        <v>8.6537809426924378E-2</v>
      </c>
    </row>
    <row r="92" spans="1:6" x14ac:dyDescent="0.3">
      <c r="A92" s="5">
        <v>45476</v>
      </c>
      <c r="B92" s="6">
        <v>2754</v>
      </c>
      <c r="C92" s="6">
        <v>22032</v>
      </c>
      <c r="D92" s="6">
        <v>112</v>
      </c>
      <c r="E92" s="7" t="s">
        <v>5</v>
      </c>
      <c r="F92" s="6">
        <v>0.13498547567175018</v>
      </c>
    </row>
    <row r="93" spans="1:6" x14ac:dyDescent="0.3">
      <c r="A93" s="5">
        <v>45488</v>
      </c>
      <c r="B93" s="6">
        <v>2291</v>
      </c>
      <c r="C93" s="6">
        <v>18328</v>
      </c>
      <c r="D93" s="6">
        <v>10</v>
      </c>
      <c r="E93" s="7" t="s">
        <v>5</v>
      </c>
      <c r="F93" s="6">
        <v>0.15571802706241816</v>
      </c>
    </row>
    <row r="94" spans="1:6" x14ac:dyDescent="0.3">
      <c r="A94" s="8">
        <v>45488</v>
      </c>
      <c r="B94" s="9">
        <v>3796</v>
      </c>
      <c r="C94" s="9">
        <v>64532</v>
      </c>
      <c r="D94" s="9">
        <v>292</v>
      </c>
      <c r="E94" s="10" t="s">
        <v>5</v>
      </c>
      <c r="F94" s="9">
        <v>7.5280481001673588E-2</v>
      </c>
    </row>
    <row r="95" spans="1:6" x14ac:dyDescent="0.3">
      <c r="A95" s="5">
        <v>45488</v>
      </c>
      <c r="B95" s="6">
        <v>3663</v>
      </c>
      <c r="C95" s="6">
        <v>51282</v>
      </c>
      <c r="D95" s="6">
        <v>84</v>
      </c>
      <c r="E95" s="7" t="s">
        <v>5</v>
      </c>
      <c r="F95" s="6">
        <v>7.7512577512577507E-2</v>
      </c>
    </row>
    <row r="96" spans="1:6" x14ac:dyDescent="0.3">
      <c r="A96" s="5">
        <v>45489</v>
      </c>
      <c r="B96" s="6">
        <v>4725</v>
      </c>
      <c r="C96" s="6">
        <v>75600</v>
      </c>
      <c r="D96" s="6">
        <v>43</v>
      </c>
      <c r="E96" s="7" t="s">
        <v>5</v>
      </c>
      <c r="F96" s="6">
        <v>7.2579365079365077E-2</v>
      </c>
    </row>
    <row r="97" spans="1:6" x14ac:dyDescent="0.3">
      <c r="A97" s="8">
        <v>45491</v>
      </c>
      <c r="B97" s="9">
        <v>2120</v>
      </c>
      <c r="C97" s="9">
        <v>12720</v>
      </c>
      <c r="D97" s="9">
        <v>21</v>
      </c>
      <c r="E97" s="10" t="s">
        <v>5</v>
      </c>
      <c r="F97" s="9">
        <v>0.18632075471698112</v>
      </c>
    </row>
    <row r="98" spans="1:6" x14ac:dyDescent="0.3">
      <c r="A98" s="8">
        <v>45491</v>
      </c>
      <c r="B98" s="9">
        <v>4021</v>
      </c>
      <c r="C98" s="9">
        <v>36189</v>
      </c>
      <c r="D98" s="9">
        <v>174</v>
      </c>
      <c r="E98" s="10" t="s">
        <v>5</v>
      </c>
      <c r="F98" s="9">
        <v>0.13517919809886983</v>
      </c>
    </row>
    <row r="99" spans="1:6" x14ac:dyDescent="0.3">
      <c r="A99" s="5">
        <v>45502</v>
      </c>
      <c r="B99" s="6">
        <v>1509</v>
      </c>
      <c r="C99" s="6">
        <v>30180</v>
      </c>
      <c r="D99" s="6">
        <v>119</v>
      </c>
      <c r="E99" s="7" t="s">
        <v>5</v>
      </c>
      <c r="F99" s="6">
        <v>5.8316766070245198E-2</v>
      </c>
    </row>
    <row r="100" spans="1:6" x14ac:dyDescent="0.3">
      <c r="A100" s="8">
        <v>45504</v>
      </c>
      <c r="B100" s="9">
        <v>4507</v>
      </c>
      <c r="C100" s="9">
        <v>90140</v>
      </c>
      <c r="D100" s="9">
        <v>125</v>
      </c>
      <c r="E100" s="10" t="s">
        <v>5</v>
      </c>
      <c r="F100" s="9">
        <v>5.2551586421122697E-2</v>
      </c>
    </row>
    <row r="101" spans="1:6" x14ac:dyDescent="0.3">
      <c r="A101" s="8">
        <v>45504</v>
      </c>
      <c r="B101" s="9">
        <v>3008</v>
      </c>
      <c r="C101" s="9">
        <v>15040</v>
      </c>
      <c r="D101" s="9">
        <v>277</v>
      </c>
      <c r="E101" s="10" t="s">
        <v>5</v>
      </c>
      <c r="F101" s="9">
        <v>0.20871010638297871</v>
      </c>
    </row>
    <row r="102" spans="1:6" x14ac:dyDescent="0.3">
      <c r="A102" s="5">
        <v>45504</v>
      </c>
      <c r="B102" s="6">
        <v>4689</v>
      </c>
      <c r="C102" s="6">
        <v>51579</v>
      </c>
      <c r="D102" s="6">
        <v>173</v>
      </c>
      <c r="E102" s="7" t="s">
        <v>5</v>
      </c>
      <c r="F102" s="6">
        <v>0.10132030477519921</v>
      </c>
    </row>
    <row r="103" spans="1:6" x14ac:dyDescent="0.3">
      <c r="A103" s="8">
        <v>45507</v>
      </c>
      <c r="B103" s="9">
        <v>3791</v>
      </c>
      <c r="C103" s="9">
        <v>53074</v>
      </c>
      <c r="D103" s="9">
        <v>205</v>
      </c>
      <c r="E103" s="10" t="s">
        <v>5</v>
      </c>
      <c r="F103" s="9">
        <v>8.6897539284772202E-2</v>
      </c>
    </row>
    <row r="104" spans="1:6" x14ac:dyDescent="0.3">
      <c r="A104" s="8">
        <v>45512</v>
      </c>
      <c r="B104" s="9">
        <v>3649</v>
      </c>
      <c r="C104" s="9">
        <v>25543</v>
      </c>
      <c r="D104" s="9">
        <v>167</v>
      </c>
      <c r="E104" s="10" t="s">
        <v>5</v>
      </c>
      <c r="F104" s="9">
        <v>0.16744313510550835</v>
      </c>
    </row>
    <row r="105" spans="1:6" x14ac:dyDescent="0.3">
      <c r="A105" s="5">
        <v>45516</v>
      </c>
      <c r="B105" s="6">
        <v>2404</v>
      </c>
      <c r="C105" s="6">
        <v>19232</v>
      </c>
      <c r="D105" s="6">
        <v>128</v>
      </c>
      <c r="E105" s="7" t="s">
        <v>5</v>
      </c>
      <c r="F105" s="6">
        <v>0.15105033277870217</v>
      </c>
    </row>
    <row r="106" spans="1:6" x14ac:dyDescent="0.3">
      <c r="A106" s="8">
        <v>45516</v>
      </c>
      <c r="B106" s="9">
        <v>1878</v>
      </c>
      <c r="C106" s="9">
        <v>37560</v>
      </c>
      <c r="D106" s="9">
        <v>142</v>
      </c>
      <c r="E106" s="10" t="s">
        <v>5</v>
      </c>
      <c r="F106" s="9">
        <v>5.6416400425985093E-2</v>
      </c>
    </row>
    <row r="107" spans="1:6" x14ac:dyDescent="0.3">
      <c r="A107" s="5">
        <v>45523</v>
      </c>
      <c r="B107" s="6">
        <v>1257</v>
      </c>
      <c r="C107" s="6">
        <v>12570</v>
      </c>
      <c r="D107" s="6">
        <v>194</v>
      </c>
      <c r="E107" s="7" t="s">
        <v>5</v>
      </c>
      <c r="F107" s="6">
        <v>0.12943516308671441</v>
      </c>
    </row>
    <row r="108" spans="1:6" x14ac:dyDescent="0.3">
      <c r="A108" s="8">
        <v>45524</v>
      </c>
      <c r="B108" s="9">
        <v>2603</v>
      </c>
      <c r="C108" s="9">
        <v>13015</v>
      </c>
      <c r="D108" s="9">
        <v>20</v>
      </c>
      <c r="E108" s="10" t="s">
        <v>5</v>
      </c>
      <c r="F108" s="9">
        <v>0.26876680752977333</v>
      </c>
    </row>
    <row r="109" spans="1:6" x14ac:dyDescent="0.3">
      <c r="A109" s="5">
        <v>45528</v>
      </c>
      <c r="B109" s="6">
        <v>4292</v>
      </c>
      <c r="C109" s="6">
        <v>55796</v>
      </c>
      <c r="D109" s="6">
        <v>264</v>
      </c>
      <c r="E109" s="7" t="s">
        <v>5</v>
      </c>
      <c r="F109" s="6">
        <v>8.4862714173059003E-2</v>
      </c>
    </row>
    <row r="110" spans="1:6" x14ac:dyDescent="0.3">
      <c r="A110" s="5">
        <v>45535</v>
      </c>
      <c r="B110" s="6">
        <v>4494</v>
      </c>
      <c r="C110" s="6">
        <v>62916</v>
      </c>
      <c r="D110" s="6">
        <v>191</v>
      </c>
      <c r="E110" s="7" t="s">
        <v>5</v>
      </c>
      <c r="F110" s="6">
        <v>8.3539958039290485E-2</v>
      </c>
    </row>
    <row r="111" spans="1:6" x14ac:dyDescent="0.3">
      <c r="A111" s="8">
        <v>45540</v>
      </c>
      <c r="B111" s="9">
        <v>4886</v>
      </c>
      <c r="C111" s="9">
        <v>43974</v>
      </c>
      <c r="D111" s="9">
        <v>65</v>
      </c>
      <c r="E111" s="10" t="s">
        <v>5</v>
      </c>
      <c r="F111" s="9">
        <v>0.14276618001546368</v>
      </c>
    </row>
    <row r="112" spans="1:6" x14ac:dyDescent="0.3">
      <c r="A112" s="8">
        <v>45546</v>
      </c>
      <c r="B112" s="9">
        <v>4858</v>
      </c>
      <c r="C112" s="9">
        <v>53438</v>
      </c>
      <c r="D112" s="9">
        <v>223</v>
      </c>
      <c r="E112" s="10" t="s">
        <v>5</v>
      </c>
      <c r="F112" s="9">
        <v>9.9255211647142488E-2</v>
      </c>
    </row>
    <row r="113" spans="1:6" x14ac:dyDescent="0.3">
      <c r="A113" s="5">
        <v>45568</v>
      </c>
      <c r="B113" s="6">
        <v>1488</v>
      </c>
      <c r="C113" s="6">
        <v>19344</v>
      </c>
      <c r="D113" s="6">
        <v>30</v>
      </c>
      <c r="E113" s="7" t="s">
        <v>5</v>
      </c>
      <c r="F113" s="6">
        <v>0.1071650124069479</v>
      </c>
    </row>
    <row r="114" spans="1:6" x14ac:dyDescent="0.3">
      <c r="A114" s="5">
        <v>45569</v>
      </c>
      <c r="B114" s="6">
        <v>1963</v>
      </c>
      <c r="C114" s="6">
        <v>39260</v>
      </c>
      <c r="D114" s="6">
        <v>145</v>
      </c>
      <c r="E114" s="7" t="s">
        <v>5</v>
      </c>
      <c r="F114" s="6">
        <v>5.5909322465613857E-2</v>
      </c>
    </row>
    <row r="115" spans="1:6" x14ac:dyDescent="0.3">
      <c r="A115" s="5">
        <v>45573</v>
      </c>
      <c r="B115" s="6">
        <v>1814</v>
      </c>
      <c r="C115" s="6">
        <v>25396</v>
      </c>
      <c r="D115" s="6">
        <v>39</v>
      </c>
      <c r="E115" s="7" t="s">
        <v>5</v>
      </c>
      <c r="F115" s="6">
        <v>0.11143487163332809</v>
      </c>
    </row>
    <row r="116" spans="1:6" x14ac:dyDescent="0.3">
      <c r="A116" s="8">
        <v>45583</v>
      </c>
      <c r="B116" s="9">
        <v>4126</v>
      </c>
      <c r="C116" s="9">
        <v>78394</v>
      </c>
      <c r="D116" s="9">
        <v>88</v>
      </c>
      <c r="E116" s="10" t="s">
        <v>5</v>
      </c>
      <c r="F116" s="9">
        <v>6.4265122330790625E-2</v>
      </c>
    </row>
    <row r="117" spans="1:6" x14ac:dyDescent="0.3">
      <c r="A117" s="8">
        <v>45589</v>
      </c>
      <c r="B117" s="9">
        <v>3888</v>
      </c>
      <c r="C117" s="9">
        <v>77760</v>
      </c>
      <c r="D117" s="9">
        <v>20</v>
      </c>
      <c r="E117" s="10" t="s">
        <v>5</v>
      </c>
      <c r="F117" s="9">
        <v>5.941358024691358E-2</v>
      </c>
    </row>
    <row r="118" spans="1:6" x14ac:dyDescent="0.3">
      <c r="A118" s="5">
        <v>45590</v>
      </c>
      <c r="B118" s="6">
        <v>4661</v>
      </c>
      <c r="C118" s="6">
        <v>23305</v>
      </c>
      <c r="D118" s="6">
        <v>63</v>
      </c>
      <c r="E118" s="7" t="s">
        <v>5</v>
      </c>
      <c r="F118" s="6">
        <v>0.25869984981763572</v>
      </c>
    </row>
    <row r="119" spans="1:6" x14ac:dyDescent="0.3">
      <c r="A119" s="5">
        <v>45593</v>
      </c>
      <c r="B119" s="6">
        <v>4929</v>
      </c>
      <c r="C119" s="6">
        <v>93651</v>
      </c>
      <c r="D119" s="6">
        <v>66</v>
      </c>
      <c r="E119" s="7" t="s">
        <v>5</v>
      </c>
      <c r="F119" s="6">
        <v>6.5455787978772245E-2</v>
      </c>
    </row>
    <row r="120" spans="1:6" x14ac:dyDescent="0.3">
      <c r="A120" s="8">
        <v>45608</v>
      </c>
      <c r="B120" s="9">
        <v>3338</v>
      </c>
      <c r="C120" s="9">
        <v>60084</v>
      </c>
      <c r="D120" s="9">
        <v>252</v>
      </c>
      <c r="E120" s="10" t="s">
        <v>5</v>
      </c>
      <c r="F120" s="9">
        <v>6.2129685107516146E-2</v>
      </c>
    </row>
    <row r="121" spans="1:6" x14ac:dyDescent="0.3">
      <c r="A121" s="5">
        <v>45622</v>
      </c>
      <c r="B121" s="6">
        <v>4516</v>
      </c>
      <c r="C121" s="6">
        <v>49676</v>
      </c>
      <c r="D121" s="6">
        <v>282</v>
      </c>
      <c r="E121" s="7" t="s">
        <v>5</v>
      </c>
      <c r="F121" s="6">
        <v>0.11114018842096787</v>
      </c>
    </row>
    <row r="122" spans="1:6" x14ac:dyDescent="0.3">
      <c r="A122" s="5">
        <v>45625</v>
      </c>
      <c r="B122" s="6">
        <v>1176</v>
      </c>
      <c r="C122" s="6">
        <v>14112</v>
      </c>
      <c r="D122" s="6">
        <v>272</v>
      </c>
      <c r="E122" s="7" t="s">
        <v>5</v>
      </c>
      <c r="F122" s="6">
        <v>0.1441326530612245</v>
      </c>
    </row>
    <row r="123" spans="1:6" x14ac:dyDescent="0.3">
      <c r="A123" s="5">
        <v>45634</v>
      </c>
      <c r="B123" s="6">
        <v>2610</v>
      </c>
      <c r="C123" s="6">
        <v>15660</v>
      </c>
      <c r="D123" s="6">
        <v>73</v>
      </c>
      <c r="E123" s="7" t="s">
        <v>5</v>
      </c>
      <c r="F123" s="6">
        <v>0.19310344827586207</v>
      </c>
    </row>
    <row r="124" spans="1:6" x14ac:dyDescent="0.3">
      <c r="A124" s="5">
        <v>45635</v>
      </c>
      <c r="B124" s="6">
        <v>1841</v>
      </c>
      <c r="C124" s="6">
        <v>34979</v>
      </c>
      <c r="D124" s="6">
        <v>255</v>
      </c>
      <c r="E124" s="7" t="s">
        <v>5</v>
      </c>
      <c r="F124" s="6">
        <v>8.6737756939878216E-2</v>
      </c>
    </row>
    <row r="125" spans="1:6" x14ac:dyDescent="0.3">
      <c r="A125" s="8">
        <v>45637</v>
      </c>
      <c r="B125" s="9">
        <v>1431</v>
      </c>
      <c r="C125" s="9">
        <v>8586</v>
      </c>
      <c r="D125" s="9">
        <v>150</v>
      </c>
      <c r="E125" s="10" t="s">
        <v>5</v>
      </c>
      <c r="F125" s="9">
        <v>0.28045655718611695</v>
      </c>
    </row>
    <row r="126" spans="1:6" x14ac:dyDescent="0.3">
      <c r="A126" s="8">
        <v>45648</v>
      </c>
      <c r="B126" s="9">
        <v>1644</v>
      </c>
      <c r="C126" s="9">
        <v>27948</v>
      </c>
      <c r="D126" s="9">
        <v>300</v>
      </c>
      <c r="E126" s="10" t="s">
        <v>5</v>
      </c>
      <c r="F126" s="9">
        <v>8.3726921425504502E-2</v>
      </c>
    </row>
    <row r="127" spans="1:6" x14ac:dyDescent="0.3">
      <c r="A127" s="8">
        <v>45649</v>
      </c>
      <c r="B127" s="9">
        <v>1461</v>
      </c>
      <c r="C127" s="9">
        <v>21915</v>
      </c>
      <c r="D127" s="9">
        <v>15</v>
      </c>
      <c r="E127" s="10" t="s">
        <v>5</v>
      </c>
      <c r="F127" s="9">
        <v>9.0759753593429152E-2</v>
      </c>
    </row>
    <row r="128" spans="1:6" x14ac:dyDescent="0.3">
      <c r="A128" s="5">
        <v>45649</v>
      </c>
      <c r="B128" s="6">
        <v>521</v>
      </c>
      <c r="C128" s="6">
        <v>4168</v>
      </c>
      <c r="D128" s="6">
        <v>282</v>
      </c>
      <c r="E128" s="7" t="s">
        <v>5</v>
      </c>
      <c r="F128" s="6">
        <v>0.37955854126679461</v>
      </c>
    </row>
    <row r="129" spans="1:6" x14ac:dyDescent="0.3">
      <c r="A129" s="8">
        <v>45650</v>
      </c>
      <c r="B129" s="9">
        <v>2166</v>
      </c>
      <c r="C129" s="9">
        <v>10830</v>
      </c>
      <c r="D129" s="9">
        <v>24</v>
      </c>
      <c r="E129" s="10" t="s">
        <v>5</v>
      </c>
      <c r="F129" s="9">
        <v>0.24349030470914126</v>
      </c>
    </row>
    <row r="130" spans="1:6" x14ac:dyDescent="0.3">
      <c r="A130" s="8">
        <v>45674</v>
      </c>
      <c r="B130" s="9">
        <v>142</v>
      </c>
      <c r="C130" s="9">
        <v>1704</v>
      </c>
      <c r="D130" s="9">
        <v>154</v>
      </c>
      <c r="E130" s="10" t="s">
        <v>5</v>
      </c>
      <c r="F130" s="9">
        <v>0.6508215962441315</v>
      </c>
    </row>
    <row r="131" spans="1:6" x14ac:dyDescent="0.3">
      <c r="A131" s="8">
        <v>45684</v>
      </c>
      <c r="B131" s="9">
        <v>3452</v>
      </c>
      <c r="C131" s="9">
        <v>65588</v>
      </c>
      <c r="D131" s="9">
        <v>158</v>
      </c>
      <c r="E131" s="10" t="s">
        <v>5</v>
      </c>
      <c r="F131" s="9">
        <v>6.9311459413307311E-2</v>
      </c>
    </row>
    <row r="132" spans="1:6" x14ac:dyDescent="0.3">
      <c r="A132" s="5">
        <v>45685</v>
      </c>
      <c r="B132" s="6">
        <v>904</v>
      </c>
      <c r="C132" s="6">
        <v>11752</v>
      </c>
      <c r="D132" s="6">
        <v>84</v>
      </c>
      <c r="E132" s="7" t="s">
        <v>5</v>
      </c>
      <c r="F132" s="6">
        <v>0.1650782845473111</v>
      </c>
    </row>
    <row r="133" spans="1:6" x14ac:dyDescent="0.3">
      <c r="A133" s="8">
        <v>45690</v>
      </c>
      <c r="B133" s="9">
        <v>1792</v>
      </c>
      <c r="C133" s="9">
        <v>25088</v>
      </c>
      <c r="D133" s="9">
        <v>65</v>
      </c>
      <c r="E133" s="10" t="s">
        <v>5</v>
      </c>
      <c r="F133" s="9">
        <v>0.11571269132653061</v>
      </c>
    </row>
    <row r="134" spans="1:6" x14ac:dyDescent="0.3">
      <c r="A134" s="5">
        <v>45692</v>
      </c>
      <c r="B134" s="6">
        <v>4619</v>
      </c>
      <c r="C134" s="6">
        <v>69285</v>
      </c>
      <c r="D134" s="6">
        <v>298</v>
      </c>
      <c r="E134" s="7" t="s">
        <v>5</v>
      </c>
      <c r="F134" s="6">
        <v>8.5718409468138843E-2</v>
      </c>
    </row>
    <row r="135" spans="1:6" x14ac:dyDescent="0.3">
      <c r="A135" s="5">
        <v>45698</v>
      </c>
      <c r="B135" s="6">
        <v>1766</v>
      </c>
      <c r="C135" s="6">
        <v>24724</v>
      </c>
      <c r="D135" s="6">
        <v>52</v>
      </c>
      <c r="E135" s="7" t="s">
        <v>5</v>
      </c>
      <c r="F135" s="6">
        <v>9.2298980747451867E-2</v>
      </c>
    </row>
    <row r="136" spans="1:6" x14ac:dyDescent="0.3">
      <c r="A136" s="5">
        <v>45699</v>
      </c>
      <c r="B136" s="6">
        <v>3440</v>
      </c>
      <c r="C136" s="6">
        <v>58480</v>
      </c>
      <c r="D136" s="6">
        <v>210</v>
      </c>
      <c r="E136" s="7" t="s">
        <v>5</v>
      </c>
      <c r="F136" s="6">
        <v>5.9387824897400819E-2</v>
      </c>
    </row>
    <row r="137" spans="1:6" x14ac:dyDescent="0.3">
      <c r="A137" s="5">
        <v>45707</v>
      </c>
      <c r="B137" s="6">
        <v>257</v>
      </c>
      <c r="C137" s="6">
        <v>3341</v>
      </c>
      <c r="D137" s="6">
        <v>287</v>
      </c>
      <c r="E137" s="7" t="s">
        <v>5</v>
      </c>
      <c r="F137" s="6">
        <v>0.48518407662376534</v>
      </c>
    </row>
    <row r="138" spans="1:6" x14ac:dyDescent="0.3">
      <c r="A138" s="8">
        <v>45708</v>
      </c>
      <c r="B138" s="9">
        <v>1877</v>
      </c>
      <c r="C138" s="9">
        <v>11262</v>
      </c>
      <c r="D138" s="9">
        <v>41</v>
      </c>
      <c r="E138" s="10" t="s">
        <v>5</v>
      </c>
      <c r="F138" s="9">
        <v>0.25279701651571657</v>
      </c>
    </row>
    <row r="139" spans="1:6" x14ac:dyDescent="0.3">
      <c r="A139" s="8">
        <v>45712</v>
      </c>
      <c r="B139" s="9">
        <v>2704</v>
      </c>
      <c r="C139" s="9">
        <v>21632</v>
      </c>
      <c r="D139" s="9">
        <v>127</v>
      </c>
      <c r="E139" s="10" t="s">
        <v>5</v>
      </c>
      <c r="F139" s="9">
        <v>0.16683616863905326</v>
      </c>
    </row>
    <row r="140" spans="1:6" x14ac:dyDescent="0.3">
      <c r="A140" s="5">
        <v>45718</v>
      </c>
      <c r="B140" s="6">
        <v>2358</v>
      </c>
      <c r="C140" s="6">
        <v>35370</v>
      </c>
      <c r="D140" s="6">
        <v>216</v>
      </c>
      <c r="E140" s="7" t="s">
        <v>5</v>
      </c>
      <c r="F140" s="6">
        <v>9.8558100084817649E-2</v>
      </c>
    </row>
    <row r="141" spans="1:6" x14ac:dyDescent="0.3">
      <c r="A141" s="5">
        <v>45734</v>
      </c>
      <c r="B141" s="6">
        <v>3704</v>
      </c>
      <c r="C141" s="6">
        <v>25928</v>
      </c>
      <c r="D141" s="6">
        <v>131</v>
      </c>
      <c r="E141" s="7" t="s">
        <v>5</v>
      </c>
      <c r="F141" s="6">
        <v>0.16769515581610614</v>
      </c>
    </row>
    <row r="142" spans="1:6" x14ac:dyDescent="0.3">
      <c r="A142" s="8">
        <v>45735</v>
      </c>
      <c r="B142" s="9">
        <v>3160</v>
      </c>
      <c r="C142" s="9">
        <v>44240</v>
      </c>
      <c r="D142" s="9">
        <v>49</v>
      </c>
      <c r="E142" s="10" t="s">
        <v>5</v>
      </c>
      <c r="F142" s="9">
        <v>8.2753164556962022E-2</v>
      </c>
    </row>
    <row r="143" spans="1:6" x14ac:dyDescent="0.3">
      <c r="A143" s="8">
        <v>45740</v>
      </c>
      <c r="B143" s="9">
        <v>3360</v>
      </c>
      <c r="C143" s="9">
        <v>60480</v>
      </c>
      <c r="D143" s="9">
        <v>192</v>
      </c>
      <c r="E143" s="10" t="s">
        <v>5</v>
      </c>
      <c r="F143" s="9">
        <v>7.2503306878306875E-2</v>
      </c>
    </row>
    <row r="144" spans="1:6" x14ac:dyDescent="0.3">
      <c r="A144" s="5">
        <v>45741</v>
      </c>
      <c r="B144" s="6">
        <v>4050</v>
      </c>
      <c r="C144" s="6">
        <v>52650</v>
      </c>
      <c r="D144" s="6">
        <v>209</v>
      </c>
      <c r="E144" s="7" t="s">
        <v>5</v>
      </c>
      <c r="F144" s="6">
        <v>0.10005698005698006</v>
      </c>
    </row>
    <row r="145" spans="1:6" x14ac:dyDescent="0.3">
      <c r="A145" s="8">
        <v>45745</v>
      </c>
      <c r="B145" s="9">
        <v>4712</v>
      </c>
      <c r="C145" s="9">
        <v>84816</v>
      </c>
      <c r="D145" s="9">
        <v>100</v>
      </c>
      <c r="E145" s="10" t="s">
        <v>5</v>
      </c>
      <c r="F145" s="9">
        <v>6.3749764195434822E-2</v>
      </c>
    </row>
    <row r="146" spans="1:6" x14ac:dyDescent="0.3">
      <c r="A146" s="5">
        <v>45749</v>
      </c>
      <c r="B146" s="6">
        <v>199</v>
      </c>
      <c r="C146" s="6">
        <v>3582</v>
      </c>
      <c r="D146" s="6">
        <v>43</v>
      </c>
      <c r="E146" s="7" t="s">
        <v>5</v>
      </c>
      <c r="F146" s="6">
        <v>0.38274706867671693</v>
      </c>
    </row>
    <row r="147" spans="1:6" x14ac:dyDescent="0.3">
      <c r="A147" s="8">
        <v>45750</v>
      </c>
      <c r="B147" s="9">
        <v>3767</v>
      </c>
      <c r="C147" s="9">
        <v>37670</v>
      </c>
      <c r="D147" s="9">
        <v>226</v>
      </c>
      <c r="E147" s="10" t="s">
        <v>5</v>
      </c>
      <c r="F147" s="9">
        <v>0.11996283514733209</v>
      </c>
    </row>
    <row r="148" spans="1:6" x14ac:dyDescent="0.3">
      <c r="A148" s="5">
        <v>45754</v>
      </c>
      <c r="B148" s="6">
        <v>3718</v>
      </c>
      <c r="C148" s="6">
        <v>70642</v>
      </c>
      <c r="D148" s="6">
        <v>233</v>
      </c>
      <c r="E148" s="7" t="s">
        <v>5</v>
      </c>
      <c r="F148" s="6">
        <v>6.246991874522239E-2</v>
      </c>
    </row>
    <row r="149" spans="1:6" x14ac:dyDescent="0.3">
      <c r="A149" s="8">
        <v>45757</v>
      </c>
      <c r="B149" s="9">
        <v>3128</v>
      </c>
      <c r="C149" s="9">
        <v>59432</v>
      </c>
      <c r="D149" s="9">
        <v>238</v>
      </c>
      <c r="E149" s="10" t="s">
        <v>5</v>
      </c>
      <c r="F149" s="9">
        <v>5.9496567505720827E-2</v>
      </c>
    </row>
    <row r="150" spans="1:6" x14ac:dyDescent="0.3">
      <c r="A150" s="5">
        <v>45760</v>
      </c>
      <c r="B150" s="6">
        <v>4579</v>
      </c>
      <c r="C150" s="6">
        <v>59527</v>
      </c>
      <c r="D150" s="6">
        <v>269</v>
      </c>
      <c r="E150" s="7" t="s">
        <v>5</v>
      </c>
      <c r="F150" s="6">
        <v>8.4062694239588759E-2</v>
      </c>
    </row>
    <row r="151" spans="1:6" x14ac:dyDescent="0.3">
      <c r="A151" s="8">
        <v>45766</v>
      </c>
      <c r="B151" s="9">
        <v>4177</v>
      </c>
      <c r="C151" s="9">
        <v>25062</v>
      </c>
      <c r="D151" s="9">
        <v>230</v>
      </c>
      <c r="E151" s="10" t="s">
        <v>5</v>
      </c>
      <c r="F151" s="9">
        <v>0.19156491900087783</v>
      </c>
    </row>
    <row r="152" spans="1:6" x14ac:dyDescent="0.3">
      <c r="A152" s="8">
        <v>45771</v>
      </c>
      <c r="B152" s="9">
        <v>3820</v>
      </c>
      <c r="C152" s="9">
        <v>45840</v>
      </c>
      <c r="D152" s="9">
        <v>171</v>
      </c>
      <c r="E152" s="10" t="s">
        <v>5</v>
      </c>
      <c r="F152" s="9">
        <v>0.1043848167539267</v>
      </c>
    </row>
    <row r="153" spans="1:6" x14ac:dyDescent="0.3">
      <c r="A153" s="5">
        <v>45775</v>
      </c>
      <c r="B153" s="6">
        <v>2089</v>
      </c>
      <c r="C153" s="6">
        <v>16712</v>
      </c>
      <c r="D153" s="6">
        <v>64</v>
      </c>
      <c r="E153" s="7" t="s">
        <v>5</v>
      </c>
      <c r="F153" s="6">
        <v>0.15761129727142173</v>
      </c>
    </row>
    <row r="154" spans="1:6" x14ac:dyDescent="0.3">
      <c r="A154" s="8">
        <v>45783</v>
      </c>
      <c r="B154" s="9">
        <v>4872</v>
      </c>
      <c r="C154" s="9">
        <v>82824</v>
      </c>
      <c r="D154" s="9">
        <v>89</v>
      </c>
      <c r="E154" s="10" t="s">
        <v>5</v>
      </c>
      <c r="F154" s="9">
        <v>7.2116777745580993E-2</v>
      </c>
    </row>
    <row r="155" spans="1:6" x14ac:dyDescent="0.3">
      <c r="A155" s="8">
        <v>45788</v>
      </c>
      <c r="B155" s="9">
        <v>2493</v>
      </c>
      <c r="C155" s="9">
        <v>42381</v>
      </c>
      <c r="D155" s="9">
        <v>242</v>
      </c>
      <c r="E155" s="10" t="s">
        <v>5</v>
      </c>
      <c r="F155" s="9">
        <v>6.2150491965739366E-2</v>
      </c>
    </row>
    <row r="156" spans="1:6" x14ac:dyDescent="0.3">
      <c r="A156" s="8">
        <v>45789</v>
      </c>
      <c r="B156" s="9">
        <v>2795</v>
      </c>
      <c r="C156" s="9">
        <v>53105</v>
      </c>
      <c r="D156" s="9">
        <v>204</v>
      </c>
      <c r="E156" s="10" t="s">
        <v>5</v>
      </c>
      <c r="F156" s="9">
        <v>5.5531494209584788E-2</v>
      </c>
    </row>
    <row r="157" spans="1:6" x14ac:dyDescent="0.3">
      <c r="A157" s="5">
        <v>45453</v>
      </c>
      <c r="B157" s="6">
        <v>1575</v>
      </c>
      <c r="C157" s="6">
        <v>25200</v>
      </c>
      <c r="D157" s="6">
        <v>17</v>
      </c>
      <c r="E157" s="7" t="s">
        <v>7</v>
      </c>
      <c r="F157" s="6">
        <v>0.11238095238095239</v>
      </c>
    </row>
    <row r="158" spans="1:6" x14ac:dyDescent="0.3">
      <c r="A158" s="8">
        <v>45456</v>
      </c>
      <c r="B158" s="9">
        <v>2200</v>
      </c>
      <c r="C158" s="9">
        <v>37400</v>
      </c>
      <c r="D158" s="9">
        <v>225</v>
      </c>
      <c r="E158" s="10" t="s">
        <v>7</v>
      </c>
      <c r="F158" s="9">
        <v>7.8689839572192513E-2</v>
      </c>
    </row>
    <row r="159" spans="1:6" x14ac:dyDescent="0.3">
      <c r="A159" s="8">
        <v>45459</v>
      </c>
      <c r="B159" s="9">
        <v>1702</v>
      </c>
      <c r="C159" s="9">
        <v>34040</v>
      </c>
      <c r="D159" s="9">
        <v>76</v>
      </c>
      <c r="E159" s="10" t="s">
        <v>7</v>
      </c>
      <c r="F159" s="9">
        <v>7.7291421856639245E-2</v>
      </c>
    </row>
    <row r="160" spans="1:6" x14ac:dyDescent="0.3">
      <c r="A160" s="5">
        <v>45460</v>
      </c>
      <c r="B160" s="6">
        <v>954</v>
      </c>
      <c r="C160" s="6">
        <v>19080</v>
      </c>
      <c r="D160" s="6">
        <v>21</v>
      </c>
      <c r="E160" s="7" t="s">
        <v>7</v>
      </c>
      <c r="F160" s="6">
        <v>8.2075471698113203E-2</v>
      </c>
    </row>
    <row r="161" spans="1:6" x14ac:dyDescent="0.3">
      <c r="A161" s="8">
        <v>45463</v>
      </c>
      <c r="B161" s="9">
        <v>4672</v>
      </c>
      <c r="C161" s="9">
        <v>88768</v>
      </c>
      <c r="D161" s="9">
        <v>118</v>
      </c>
      <c r="E161" s="10" t="s">
        <v>7</v>
      </c>
      <c r="F161" s="9">
        <v>5.6653298485940883E-2</v>
      </c>
    </row>
    <row r="162" spans="1:6" x14ac:dyDescent="0.3">
      <c r="A162" s="8">
        <v>45464</v>
      </c>
      <c r="B162" s="9">
        <v>4832</v>
      </c>
      <c r="C162" s="9">
        <v>91808</v>
      </c>
      <c r="D162" s="9">
        <v>182</v>
      </c>
      <c r="E162" s="10" t="s">
        <v>7</v>
      </c>
      <c r="F162" s="9">
        <v>6.2467323109097243E-2</v>
      </c>
    </row>
    <row r="163" spans="1:6" x14ac:dyDescent="0.3">
      <c r="A163" s="8">
        <v>45466</v>
      </c>
      <c r="B163" s="9">
        <v>1071</v>
      </c>
      <c r="C163" s="9">
        <v>16065</v>
      </c>
      <c r="D163" s="9">
        <v>103</v>
      </c>
      <c r="E163" s="10" t="s">
        <v>7</v>
      </c>
      <c r="F163" s="9">
        <v>0.10034235916588857</v>
      </c>
    </row>
    <row r="164" spans="1:6" x14ac:dyDescent="0.3">
      <c r="A164" s="8">
        <v>45467</v>
      </c>
      <c r="B164" s="9">
        <v>3860</v>
      </c>
      <c r="C164" s="9">
        <v>61760</v>
      </c>
      <c r="D164" s="9">
        <v>235</v>
      </c>
      <c r="E164" s="10" t="s">
        <v>7</v>
      </c>
      <c r="F164" s="9">
        <v>7.0272020725388601E-2</v>
      </c>
    </row>
    <row r="165" spans="1:6" x14ac:dyDescent="0.3">
      <c r="A165" s="8">
        <v>45469</v>
      </c>
      <c r="B165" s="9">
        <v>3557</v>
      </c>
      <c r="C165" s="9">
        <v>71140</v>
      </c>
      <c r="D165" s="9">
        <v>224</v>
      </c>
      <c r="E165" s="10" t="s">
        <v>7</v>
      </c>
      <c r="F165" s="9">
        <v>6.5617093055946027E-2</v>
      </c>
    </row>
    <row r="166" spans="1:6" x14ac:dyDescent="0.3">
      <c r="A166" s="8">
        <v>45475</v>
      </c>
      <c r="B166" s="9">
        <v>4171</v>
      </c>
      <c r="C166" s="9">
        <v>66736</v>
      </c>
      <c r="D166" s="9">
        <v>173</v>
      </c>
      <c r="E166" s="10" t="s">
        <v>7</v>
      </c>
      <c r="F166" s="9">
        <v>7.2000119875329657E-2</v>
      </c>
    </row>
    <row r="167" spans="1:6" x14ac:dyDescent="0.3">
      <c r="A167" s="5">
        <v>45486</v>
      </c>
      <c r="B167" s="6">
        <v>3929</v>
      </c>
      <c r="C167" s="6">
        <v>43219</v>
      </c>
      <c r="D167" s="6">
        <v>39</v>
      </c>
      <c r="E167" s="7" t="s">
        <v>7</v>
      </c>
      <c r="F167" s="6">
        <v>0.10340359564080613</v>
      </c>
    </row>
    <row r="168" spans="1:6" x14ac:dyDescent="0.3">
      <c r="A168" s="5">
        <v>45494</v>
      </c>
      <c r="B168" s="6">
        <v>1946</v>
      </c>
      <c r="C168" s="6">
        <v>23352</v>
      </c>
      <c r="D168" s="6">
        <v>213</v>
      </c>
      <c r="E168" s="7" t="s">
        <v>7</v>
      </c>
      <c r="F168" s="6">
        <v>0.12885405960945528</v>
      </c>
    </row>
    <row r="169" spans="1:6" x14ac:dyDescent="0.3">
      <c r="A169" s="5">
        <v>45497</v>
      </c>
      <c r="B169" s="6">
        <v>725</v>
      </c>
      <c r="C169" s="6">
        <v>14500</v>
      </c>
      <c r="D169" s="6">
        <v>200</v>
      </c>
      <c r="E169" s="7" t="s">
        <v>7</v>
      </c>
      <c r="F169" s="6">
        <v>8.558620689655172E-2</v>
      </c>
    </row>
    <row r="170" spans="1:6" x14ac:dyDescent="0.3">
      <c r="A170" s="5">
        <v>45499</v>
      </c>
      <c r="B170" s="6">
        <v>432</v>
      </c>
      <c r="C170" s="6">
        <v>3024</v>
      </c>
      <c r="D170" s="6">
        <v>184</v>
      </c>
      <c r="E170" s="7" t="s">
        <v>7</v>
      </c>
      <c r="F170" s="6">
        <v>0.29199735449735448</v>
      </c>
    </row>
    <row r="171" spans="1:6" x14ac:dyDescent="0.3">
      <c r="A171" s="8">
        <v>45499</v>
      </c>
      <c r="B171" s="9">
        <v>3559</v>
      </c>
      <c r="C171" s="9">
        <v>35590</v>
      </c>
      <c r="D171" s="9">
        <v>122</v>
      </c>
      <c r="E171" s="10" t="s">
        <v>7</v>
      </c>
      <c r="F171" s="9">
        <v>0.10977802753582468</v>
      </c>
    </row>
    <row r="172" spans="1:6" x14ac:dyDescent="0.3">
      <c r="A172" s="5">
        <v>45501</v>
      </c>
      <c r="B172" s="6">
        <v>3215</v>
      </c>
      <c r="C172" s="6">
        <v>32150</v>
      </c>
      <c r="D172" s="6">
        <v>251</v>
      </c>
      <c r="E172" s="7" t="s">
        <v>7</v>
      </c>
      <c r="F172" s="6">
        <v>0.13614307931570763</v>
      </c>
    </row>
    <row r="173" spans="1:6" x14ac:dyDescent="0.3">
      <c r="A173" s="8">
        <v>45505</v>
      </c>
      <c r="B173" s="9">
        <v>1674</v>
      </c>
      <c r="C173" s="9">
        <v>21762</v>
      </c>
      <c r="D173" s="9">
        <v>255</v>
      </c>
      <c r="E173" s="10" t="s">
        <v>7</v>
      </c>
      <c r="F173" s="9">
        <v>0.12131237937689551</v>
      </c>
    </row>
    <row r="174" spans="1:6" x14ac:dyDescent="0.3">
      <c r="A174" s="8">
        <v>45519</v>
      </c>
      <c r="B174" s="9">
        <v>914</v>
      </c>
      <c r="C174" s="9">
        <v>11882</v>
      </c>
      <c r="D174" s="9">
        <v>282</v>
      </c>
      <c r="E174" s="10" t="s">
        <v>7</v>
      </c>
      <c r="F174" s="9">
        <v>0.13667732704931829</v>
      </c>
    </row>
    <row r="175" spans="1:6" x14ac:dyDescent="0.3">
      <c r="A175" s="8">
        <v>45519</v>
      </c>
      <c r="B175" s="9">
        <v>1164</v>
      </c>
      <c r="C175" s="9">
        <v>6984</v>
      </c>
      <c r="D175" s="9">
        <v>82</v>
      </c>
      <c r="E175" s="10" t="s">
        <v>7</v>
      </c>
      <c r="F175" s="9">
        <v>0.30126002290950743</v>
      </c>
    </row>
    <row r="176" spans="1:6" x14ac:dyDescent="0.3">
      <c r="A176" s="8">
        <v>45525</v>
      </c>
      <c r="B176" s="9">
        <v>1407</v>
      </c>
      <c r="C176" s="9">
        <v>16884</v>
      </c>
      <c r="D176" s="9">
        <v>113</v>
      </c>
      <c r="E176" s="10" t="s">
        <v>7</v>
      </c>
      <c r="F176" s="9">
        <v>0.12781331438047855</v>
      </c>
    </row>
    <row r="177" spans="1:6" x14ac:dyDescent="0.3">
      <c r="A177" s="5">
        <v>45530</v>
      </c>
      <c r="B177" s="6">
        <v>3452</v>
      </c>
      <c r="C177" s="6">
        <v>55232</v>
      </c>
      <c r="D177" s="6">
        <v>87</v>
      </c>
      <c r="E177" s="7" t="s">
        <v>7</v>
      </c>
      <c r="F177" s="6">
        <v>7.5843713789107758E-2</v>
      </c>
    </row>
    <row r="178" spans="1:6" x14ac:dyDescent="0.3">
      <c r="A178" s="5">
        <v>45530</v>
      </c>
      <c r="B178" s="6">
        <v>929</v>
      </c>
      <c r="C178" s="6">
        <v>16722</v>
      </c>
      <c r="D178" s="6">
        <v>145</v>
      </c>
      <c r="E178" s="7" t="s">
        <v>7</v>
      </c>
      <c r="F178" s="6">
        <v>8.6293505561535699E-2</v>
      </c>
    </row>
    <row r="179" spans="1:6" x14ac:dyDescent="0.3">
      <c r="A179" s="8">
        <v>45534</v>
      </c>
      <c r="B179" s="9">
        <v>3784</v>
      </c>
      <c r="C179" s="9">
        <v>56760</v>
      </c>
      <c r="D179" s="9">
        <v>131</v>
      </c>
      <c r="E179" s="10" t="s">
        <v>7</v>
      </c>
      <c r="F179" s="9">
        <v>8.8019732205778717E-2</v>
      </c>
    </row>
    <row r="180" spans="1:6" x14ac:dyDescent="0.3">
      <c r="A180" s="8">
        <v>45535</v>
      </c>
      <c r="B180" s="9">
        <v>3170</v>
      </c>
      <c r="C180" s="9">
        <v>19020</v>
      </c>
      <c r="D180" s="9">
        <v>240</v>
      </c>
      <c r="E180" s="10" t="s">
        <v>7</v>
      </c>
      <c r="F180" s="9">
        <v>0.2316508937960042</v>
      </c>
    </row>
    <row r="181" spans="1:6" x14ac:dyDescent="0.3">
      <c r="A181" s="8">
        <v>45543</v>
      </c>
      <c r="B181" s="9">
        <v>3811</v>
      </c>
      <c r="C181" s="9">
        <v>34299</v>
      </c>
      <c r="D181" s="9">
        <v>233</v>
      </c>
      <c r="E181" s="10" t="s">
        <v>7</v>
      </c>
      <c r="F181" s="9">
        <v>0.14265722032712325</v>
      </c>
    </row>
    <row r="182" spans="1:6" x14ac:dyDescent="0.3">
      <c r="A182" s="5">
        <v>45544</v>
      </c>
      <c r="B182" s="6">
        <v>4054</v>
      </c>
      <c r="C182" s="6">
        <v>77026</v>
      </c>
      <c r="D182" s="6">
        <v>25</v>
      </c>
      <c r="E182" s="7" t="s">
        <v>7</v>
      </c>
      <c r="F182" s="6">
        <v>6.3809622724794221E-2</v>
      </c>
    </row>
    <row r="183" spans="1:6" x14ac:dyDescent="0.3">
      <c r="A183" s="5">
        <v>45545</v>
      </c>
      <c r="B183" s="6">
        <v>1238</v>
      </c>
      <c r="C183" s="6">
        <v>19808</v>
      </c>
      <c r="D183" s="6">
        <v>123</v>
      </c>
      <c r="E183" s="7" t="s">
        <v>7</v>
      </c>
      <c r="F183" s="6">
        <v>0.10339256865912763</v>
      </c>
    </row>
    <row r="184" spans="1:6" x14ac:dyDescent="0.3">
      <c r="A184" s="5">
        <v>45553</v>
      </c>
      <c r="B184" s="6">
        <v>1000</v>
      </c>
      <c r="C184" s="6">
        <v>6000</v>
      </c>
      <c r="D184" s="6">
        <v>223</v>
      </c>
      <c r="E184" s="7" t="s">
        <v>7</v>
      </c>
      <c r="F184" s="6">
        <v>0.35666666666666669</v>
      </c>
    </row>
    <row r="185" spans="1:6" x14ac:dyDescent="0.3">
      <c r="A185" s="5">
        <v>45564</v>
      </c>
      <c r="B185" s="6">
        <v>2936</v>
      </c>
      <c r="C185" s="6">
        <v>38168</v>
      </c>
      <c r="D185" s="6">
        <v>22</v>
      </c>
      <c r="E185" s="7" t="s">
        <v>7</v>
      </c>
      <c r="F185" s="6">
        <v>8.9577656675749323E-2</v>
      </c>
    </row>
    <row r="186" spans="1:6" x14ac:dyDescent="0.3">
      <c r="A186" s="5">
        <v>45570</v>
      </c>
      <c r="B186" s="6">
        <v>1957</v>
      </c>
      <c r="C186" s="6">
        <v>17613</v>
      </c>
      <c r="D186" s="6">
        <v>297</v>
      </c>
      <c r="E186" s="7" t="s">
        <v>7</v>
      </c>
      <c r="F186" s="6">
        <v>0.17441662408448305</v>
      </c>
    </row>
    <row r="187" spans="1:6" x14ac:dyDescent="0.3">
      <c r="A187" s="8">
        <v>45574</v>
      </c>
      <c r="B187" s="9">
        <v>3068</v>
      </c>
      <c r="C187" s="9">
        <v>39884</v>
      </c>
      <c r="D187" s="9">
        <v>266</v>
      </c>
      <c r="E187" s="10" t="s">
        <v>7</v>
      </c>
      <c r="F187" s="9">
        <v>8.860696018453515E-2</v>
      </c>
    </row>
    <row r="188" spans="1:6" x14ac:dyDescent="0.3">
      <c r="A188" s="8">
        <v>45580</v>
      </c>
      <c r="B188" s="9">
        <v>1094</v>
      </c>
      <c r="C188" s="9">
        <v>9846</v>
      </c>
      <c r="D188" s="9">
        <v>112</v>
      </c>
      <c r="E188" s="10" t="s">
        <v>7</v>
      </c>
      <c r="F188" s="9">
        <v>0.16118220597196831</v>
      </c>
    </row>
    <row r="189" spans="1:6" x14ac:dyDescent="0.3">
      <c r="A189" s="8">
        <v>45582</v>
      </c>
      <c r="B189" s="9">
        <v>3575</v>
      </c>
      <c r="C189" s="9">
        <v>21450</v>
      </c>
      <c r="D189" s="9">
        <v>195</v>
      </c>
      <c r="E189" s="10" t="s">
        <v>7</v>
      </c>
      <c r="F189" s="9">
        <v>0.20675990675990677</v>
      </c>
    </row>
    <row r="190" spans="1:6" x14ac:dyDescent="0.3">
      <c r="A190" s="8">
        <v>45584</v>
      </c>
      <c r="B190" s="9">
        <v>1816</v>
      </c>
      <c r="C190" s="9">
        <v>19976</v>
      </c>
      <c r="D190" s="9">
        <v>283</v>
      </c>
      <c r="E190" s="10" t="s">
        <v>7</v>
      </c>
      <c r="F190" s="9">
        <v>9.4413295955146179E-2</v>
      </c>
    </row>
    <row r="191" spans="1:6" x14ac:dyDescent="0.3">
      <c r="A191" s="8">
        <v>45586</v>
      </c>
      <c r="B191" s="9">
        <v>3256</v>
      </c>
      <c r="C191" s="9">
        <v>26048</v>
      </c>
      <c r="D191" s="9">
        <v>143</v>
      </c>
      <c r="E191" s="10" t="s">
        <v>7</v>
      </c>
      <c r="F191" s="9">
        <v>0.15283323095823095</v>
      </c>
    </row>
    <row r="192" spans="1:6" x14ac:dyDescent="0.3">
      <c r="A192" s="5">
        <v>45587</v>
      </c>
      <c r="B192" s="6">
        <v>3352</v>
      </c>
      <c r="C192" s="6">
        <v>43576</v>
      </c>
      <c r="D192" s="6">
        <v>240</v>
      </c>
      <c r="E192" s="7" t="s">
        <v>7</v>
      </c>
      <c r="F192" s="6">
        <v>0.1095786671562328</v>
      </c>
    </row>
    <row r="193" spans="1:6" x14ac:dyDescent="0.3">
      <c r="A193" s="5">
        <v>45593</v>
      </c>
      <c r="B193" s="6">
        <v>1855</v>
      </c>
      <c r="C193" s="6">
        <v>16695</v>
      </c>
      <c r="D193" s="6">
        <v>123</v>
      </c>
      <c r="E193" s="7" t="s">
        <v>7</v>
      </c>
      <c r="F193" s="6">
        <v>0.13351302785265048</v>
      </c>
    </row>
    <row r="194" spans="1:6" x14ac:dyDescent="0.3">
      <c r="A194" s="8">
        <v>45602</v>
      </c>
      <c r="B194" s="9">
        <v>1606</v>
      </c>
      <c r="C194" s="9">
        <v>32120</v>
      </c>
      <c r="D194" s="9">
        <v>225</v>
      </c>
      <c r="E194" s="10" t="s">
        <v>7</v>
      </c>
      <c r="F194" s="9">
        <v>7.6867995018679955E-2</v>
      </c>
    </row>
    <row r="195" spans="1:6" x14ac:dyDescent="0.3">
      <c r="A195" s="5">
        <v>45610</v>
      </c>
      <c r="B195" s="6">
        <v>4000</v>
      </c>
      <c r="C195" s="6">
        <v>40000</v>
      </c>
      <c r="D195" s="6">
        <v>44</v>
      </c>
      <c r="E195" s="7" t="s">
        <v>7</v>
      </c>
      <c r="F195" s="6">
        <v>0.12942500000000001</v>
      </c>
    </row>
    <row r="196" spans="1:6" x14ac:dyDescent="0.3">
      <c r="A196" s="5">
        <v>45618</v>
      </c>
      <c r="B196" s="6">
        <v>53</v>
      </c>
      <c r="C196" s="6">
        <v>954</v>
      </c>
      <c r="D196" s="6">
        <v>148</v>
      </c>
      <c r="E196" s="7" t="s">
        <v>7</v>
      </c>
      <c r="F196" s="6">
        <v>0.53773584905660377</v>
      </c>
    </row>
    <row r="197" spans="1:6" x14ac:dyDescent="0.3">
      <c r="A197" s="8">
        <v>45619</v>
      </c>
      <c r="B197" s="9">
        <v>2719</v>
      </c>
      <c r="C197" s="9">
        <v>40785</v>
      </c>
      <c r="D197" s="9">
        <v>40</v>
      </c>
      <c r="E197" s="10" t="s">
        <v>7</v>
      </c>
      <c r="F197" s="9">
        <v>7.4071349760941527E-2</v>
      </c>
    </row>
    <row r="198" spans="1:6" x14ac:dyDescent="0.3">
      <c r="A198" s="8">
        <v>45621</v>
      </c>
      <c r="B198" s="9">
        <v>3564</v>
      </c>
      <c r="C198" s="9">
        <v>60588</v>
      </c>
      <c r="D198" s="9">
        <v>92</v>
      </c>
      <c r="E198" s="10" t="s">
        <v>7</v>
      </c>
      <c r="F198" s="9">
        <v>7.2126493695121141E-2</v>
      </c>
    </row>
    <row r="199" spans="1:6" x14ac:dyDescent="0.3">
      <c r="A199" s="5">
        <v>45621</v>
      </c>
      <c r="B199" s="6">
        <v>4182</v>
      </c>
      <c r="C199" s="6">
        <v>50184</v>
      </c>
      <c r="D199" s="6">
        <v>10</v>
      </c>
      <c r="E199" s="7" t="s">
        <v>7</v>
      </c>
      <c r="F199" s="6">
        <v>0.10086880280567512</v>
      </c>
    </row>
    <row r="200" spans="1:6" x14ac:dyDescent="0.3">
      <c r="A200" s="8">
        <v>45624</v>
      </c>
      <c r="B200" s="9">
        <v>4213</v>
      </c>
      <c r="C200" s="9">
        <v>75834</v>
      </c>
      <c r="D200" s="9">
        <v>272</v>
      </c>
      <c r="E200" s="10" t="s">
        <v>7</v>
      </c>
      <c r="F200" s="9">
        <v>6.461481657304112E-2</v>
      </c>
    </row>
    <row r="201" spans="1:6" x14ac:dyDescent="0.3">
      <c r="A201" s="8">
        <v>45626</v>
      </c>
      <c r="B201" s="9">
        <v>3775</v>
      </c>
      <c r="C201" s="9">
        <v>33975</v>
      </c>
      <c r="D201" s="9">
        <v>271</v>
      </c>
      <c r="E201" s="10" t="s">
        <v>7</v>
      </c>
      <c r="F201" s="9">
        <v>0.11861662987490802</v>
      </c>
    </row>
    <row r="202" spans="1:6" x14ac:dyDescent="0.3">
      <c r="A202" s="8">
        <v>45629</v>
      </c>
      <c r="B202" s="9">
        <v>3809</v>
      </c>
      <c r="C202" s="9">
        <v>34281</v>
      </c>
      <c r="D202" s="9">
        <v>83</v>
      </c>
      <c r="E202" s="10" t="s">
        <v>7</v>
      </c>
      <c r="F202" s="9">
        <v>0.12490884163239112</v>
      </c>
    </row>
    <row r="203" spans="1:6" x14ac:dyDescent="0.3">
      <c r="A203" s="8">
        <v>45629</v>
      </c>
      <c r="B203" s="9">
        <v>4606</v>
      </c>
      <c r="C203" s="9">
        <v>92120</v>
      </c>
      <c r="D203" s="9">
        <v>56</v>
      </c>
      <c r="E203" s="10" t="s">
        <v>7</v>
      </c>
      <c r="F203" s="9">
        <v>6.2603126356925748E-2</v>
      </c>
    </row>
    <row r="204" spans="1:6" x14ac:dyDescent="0.3">
      <c r="A204" s="5">
        <v>45645</v>
      </c>
      <c r="B204" s="6">
        <v>1813</v>
      </c>
      <c r="C204" s="6">
        <v>19943</v>
      </c>
      <c r="D204" s="6">
        <v>85</v>
      </c>
      <c r="E204" s="7" t="s">
        <v>7</v>
      </c>
      <c r="F204" s="6">
        <v>0.12575841147269717</v>
      </c>
    </row>
    <row r="205" spans="1:6" x14ac:dyDescent="0.3">
      <c r="A205" s="5">
        <v>45646</v>
      </c>
      <c r="B205" s="6">
        <v>2107</v>
      </c>
      <c r="C205" s="6">
        <v>35819</v>
      </c>
      <c r="D205" s="6">
        <v>191</v>
      </c>
      <c r="E205" s="7" t="s">
        <v>7</v>
      </c>
      <c r="F205" s="6">
        <v>8.3921940869371006E-2</v>
      </c>
    </row>
    <row r="206" spans="1:6" x14ac:dyDescent="0.3">
      <c r="A206" s="8">
        <v>45647</v>
      </c>
      <c r="B206" s="9">
        <v>2283</v>
      </c>
      <c r="C206" s="9">
        <v>22830</v>
      </c>
      <c r="D206" s="9">
        <v>143</v>
      </c>
      <c r="E206" s="10" t="s">
        <v>7</v>
      </c>
      <c r="F206" s="9">
        <v>0.11489268506351293</v>
      </c>
    </row>
    <row r="207" spans="1:6" x14ac:dyDescent="0.3">
      <c r="A207" s="8">
        <v>45655</v>
      </c>
      <c r="B207" s="9">
        <v>4274</v>
      </c>
      <c r="C207" s="9">
        <v>34192</v>
      </c>
      <c r="D207" s="9">
        <v>129</v>
      </c>
      <c r="E207" s="10" t="s">
        <v>7</v>
      </c>
      <c r="F207" s="9">
        <v>0.14316214319138981</v>
      </c>
    </row>
    <row r="208" spans="1:6" x14ac:dyDescent="0.3">
      <c r="A208" s="8">
        <v>45658</v>
      </c>
      <c r="B208" s="9">
        <v>754</v>
      </c>
      <c r="C208" s="9">
        <v>6786</v>
      </c>
      <c r="D208" s="9">
        <v>212</v>
      </c>
      <c r="E208" s="10" t="s">
        <v>7</v>
      </c>
      <c r="F208" s="9">
        <v>0.17801355732390214</v>
      </c>
    </row>
    <row r="209" spans="1:6" x14ac:dyDescent="0.3">
      <c r="A209" s="5">
        <v>45660</v>
      </c>
      <c r="B209" s="6">
        <v>947</v>
      </c>
      <c r="C209" s="6">
        <v>10417</v>
      </c>
      <c r="D209" s="6">
        <v>34</v>
      </c>
      <c r="E209" s="7" t="s">
        <v>7</v>
      </c>
      <c r="F209" s="6">
        <v>0.1569549774407219</v>
      </c>
    </row>
    <row r="210" spans="1:6" x14ac:dyDescent="0.3">
      <c r="A210" s="8">
        <v>45661</v>
      </c>
      <c r="B210" s="9">
        <v>4838</v>
      </c>
      <c r="C210" s="9">
        <v>72570</v>
      </c>
      <c r="D210" s="9">
        <v>83</v>
      </c>
      <c r="E210" s="10" t="s">
        <v>7</v>
      </c>
      <c r="F210" s="9">
        <v>7.7249552156538517E-2</v>
      </c>
    </row>
    <row r="211" spans="1:6" x14ac:dyDescent="0.3">
      <c r="A211" s="8">
        <v>45663</v>
      </c>
      <c r="B211" s="9">
        <v>3024</v>
      </c>
      <c r="C211" s="9">
        <v>24192</v>
      </c>
      <c r="D211" s="9">
        <v>36</v>
      </c>
      <c r="E211" s="10" t="s">
        <v>7</v>
      </c>
      <c r="F211" s="9">
        <v>0.17770337301587302</v>
      </c>
    </row>
    <row r="212" spans="1:6" x14ac:dyDescent="0.3">
      <c r="A212" s="5">
        <v>45672</v>
      </c>
      <c r="B212" s="6">
        <v>3774</v>
      </c>
      <c r="C212" s="6">
        <v>60384</v>
      </c>
      <c r="D212" s="6">
        <v>241</v>
      </c>
      <c r="E212" s="7" t="s">
        <v>7</v>
      </c>
      <c r="F212" s="6">
        <v>6.7103868574456813E-2</v>
      </c>
    </row>
    <row r="213" spans="1:6" x14ac:dyDescent="0.3">
      <c r="A213" s="8">
        <v>45675</v>
      </c>
      <c r="B213" s="9">
        <v>4321</v>
      </c>
      <c r="C213" s="9">
        <v>30247</v>
      </c>
      <c r="D213" s="9">
        <v>122</v>
      </c>
      <c r="E213" s="10" t="s">
        <v>7</v>
      </c>
      <c r="F213" s="9">
        <v>0.17743908486792079</v>
      </c>
    </row>
    <row r="214" spans="1:6" x14ac:dyDescent="0.3">
      <c r="A214" s="5">
        <v>45675</v>
      </c>
      <c r="B214" s="6">
        <v>1206</v>
      </c>
      <c r="C214" s="6">
        <v>9648</v>
      </c>
      <c r="D214" s="6">
        <v>237</v>
      </c>
      <c r="E214" s="7" t="s">
        <v>7</v>
      </c>
      <c r="F214" s="6">
        <v>0.15339966832504145</v>
      </c>
    </row>
    <row r="215" spans="1:6" x14ac:dyDescent="0.3">
      <c r="A215" s="5">
        <v>45684</v>
      </c>
      <c r="B215" s="6">
        <v>3428</v>
      </c>
      <c r="C215" s="6">
        <v>58276</v>
      </c>
      <c r="D215" s="6">
        <v>242</v>
      </c>
      <c r="E215" s="7" t="s">
        <v>7</v>
      </c>
      <c r="F215" s="6">
        <v>6.5515821264328367E-2</v>
      </c>
    </row>
    <row r="216" spans="1:6" x14ac:dyDescent="0.3">
      <c r="A216" s="8">
        <v>45688</v>
      </c>
      <c r="B216" s="9">
        <v>2566</v>
      </c>
      <c r="C216" s="9">
        <v>12830</v>
      </c>
      <c r="D216" s="9">
        <v>221</v>
      </c>
      <c r="E216" s="10" t="s">
        <v>7</v>
      </c>
      <c r="F216" s="9">
        <v>0.21208106001558846</v>
      </c>
    </row>
    <row r="217" spans="1:6" x14ac:dyDescent="0.3">
      <c r="A217" s="5">
        <v>45690</v>
      </c>
      <c r="B217" s="6">
        <v>886</v>
      </c>
      <c r="C217" s="6">
        <v>4430</v>
      </c>
      <c r="D217" s="6">
        <v>212</v>
      </c>
      <c r="E217" s="7" t="s">
        <v>7</v>
      </c>
      <c r="F217" s="6">
        <v>0.26297968397291194</v>
      </c>
    </row>
    <row r="218" spans="1:6" x14ac:dyDescent="0.3">
      <c r="A218" s="8">
        <v>45694</v>
      </c>
      <c r="B218" s="9">
        <v>2072</v>
      </c>
      <c r="C218" s="9">
        <v>37296</v>
      </c>
      <c r="D218" s="9">
        <v>25</v>
      </c>
      <c r="E218" s="10" t="s">
        <v>7</v>
      </c>
      <c r="F218" s="9">
        <v>7.172350922350923E-2</v>
      </c>
    </row>
    <row r="219" spans="1:6" x14ac:dyDescent="0.3">
      <c r="A219" s="5">
        <v>45700</v>
      </c>
      <c r="B219" s="6">
        <v>4332</v>
      </c>
      <c r="C219" s="6">
        <v>60648</v>
      </c>
      <c r="D219" s="6">
        <v>10</v>
      </c>
      <c r="E219" s="7" t="s">
        <v>7</v>
      </c>
      <c r="F219" s="6">
        <v>8.7752275425405618E-2</v>
      </c>
    </row>
    <row r="220" spans="1:6" x14ac:dyDescent="0.3">
      <c r="A220" s="5">
        <v>45704</v>
      </c>
      <c r="B220" s="6">
        <v>4242</v>
      </c>
      <c r="C220" s="6">
        <v>33936</v>
      </c>
      <c r="D220" s="6">
        <v>265</v>
      </c>
      <c r="E220" s="7" t="s">
        <v>7</v>
      </c>
      <c r="F220" s="6">
        <v>0.14521452145214522</v>
      </c>
    </row>
    <row r="221" spans="1:6" x14ac:dyDescent="0.3">
      <c r="A221" s="8">
        <v>45720</v>
      </c>
      <c r="B221" s="9">
        <v>1249</v>
      </c>
      <c r="C221" s="9">
        <v>8743</v>
      </c>
      <c r="D221" s="9">
        <v>63</v>
      </c>
      <c r="E221" s="10" t="s">
        <v>7</v>
      </c>
      <c r="F221" s="9">
        <v>0.20416333066453163</v>
      </c>
    </row>
    <row r="222" spans="1:6" x14ac:dyDescent="0.3">
      <c r="A222" s="5">
        <v>45721</v>
      </c>
      <c r="B222" s="6">
        <v>1543</v>
      </c>
      <c r="C222" s="6">
        <v>12344</v>
      </c>
      <c r="D222" s="6">
        <v>241</v>
      </c>
      <c r="E222" s="7" t="s">
        <v>7</v>
      </c>
      <c r="F222" s="6">
        <v>0.21840570317563188</v>
      </c>
    </row>
    <row r="223" spans="1:6" x14ac:dyDescent="0.3">
      <c r="A223" s="8">
        <v>45724</v>
      </c>
      <c r="B223" s="9">
        <v>456</v>
      </c>
      <c r="C223" s="9">
        <v>8208</v>
      </c>
      <c r="D223" s="9">
        <v>205</v>
      </c>
      <c r="E223" s="10" t="s">
        <v>7</v>
      </c>
      <c r="F223" s="9">
        <v>0.18433235867446393</v>
      </c>
    </row>
    <row r="224" spans="1:6" x14ac:dyDescent="0.3">
      <c r="A224" s="8">
        <v>45743</v>
      </c>
      <c r="B224" s="9">
        <v>1377</v>
      </c>
      <c r="C224" s="9">
        <v>22032</v>
      </c>
      <c r="D224" s="9">
        <v>189</v>
      </c>
      <c r="E224" s="10" t="s">
        <v>7</v>
      </c>
      <c r="F224" s="9">
        <v>0.11619462599854757</v>
      </c>
    </row>
    <row r="225" spans="1:6" x14ac:dyDescent="0.3">
      <c r="A225" s="5">
        <v>45753</v>
      </c>
      <c r="B225" s="6">
        <v>736</v>
      </c>
      <c r="C225" s="6">
        <v>5152</v>
      </c>
      <c r="D225" s="6">
        <v>19</v>
      </c>
      <c r="E225" s="7" t="s">
        <v>7</v>
      </c>
      <c r="F225" s="6">
        <v>0.33618012422360249</v>
      </c>
    </row>
    <row r="226" spans="1:6" x14ac:dyDescent="0.3">
      <c r="A226" s="5">
        <v>45762</v>
      </c>
      <c r="B226" s="6">
        <v>103</v>
      </c>
      <c r="C226" s="6">
        <v>1030</v>
      </c>
      <c r="D226" s="6">
        <v>262</v>
      </c>
      <c r="E226" s="7" t="s">
        <v>7</v>
      </c>
      <c r="F226" s="6">
        <v>0.86601941747572819</v>
      </c>
    </row>
    <row r="227" spans="1:6" x14ac:dyDescent="0.3">
      <c r="A227" s="5">
        <v>45764</v>
      </c>
      <c r="B227" s="6">
        <v>4780</v>
      </c>
      <c r="C227" s="6">
        <v>86040</v>
      </c>
      <c r="D227" s="6">
        <v>262</v>
      </c>
      <c r="E227" s="7" t="s">
        <v>7</v>
      </c>
      <c r="F227" s="6">
        <v>6.800325430032543E-2</v>
      </c>
    </row>
    <row r="228" spans="1:6" x14ac:dyDescent="0.3">
      <c r="A228" s="8">
        <v>45778</v>
      </c>
      <c r="B228" s="9">
        <v>2696</v>
      </c>
      <c r="C228" s="9">
        <v>45832</v>
      </c>
      <c r="D228" s="9">
        <v>248</v>
      </c>
      <c r="E228" s="10" t="s">
        <v>7</v>
      </c>
      <c r="F228" s="9">
        <v>8.21914819340199E-2</v>
      </c>
    </row>
    <row r="229" spans="1:6" x14ac:dyDescent="0.3">
      <c r="A229" s="8">
        <v>45778</v>
      </c>
      <c r="B229" s="9">
        <v>1430</v>
      </c>
      <c r="C229" s="9">
        <v>21450</v>
      </c>
      <c r="D229" s="9">
        <v>251</v>
      </c>
      <c r="E229" s="10" t="s">
        <v>7</v>
      </c>
      <c r="F229" s="9">
        <v>8.5734265734265735E-2</v>
      </c>
    </row>
    <row r="230" spans="1:6" x14ac:dyDescent="0.3">
      <c r="A230" s="8">
        <v>45782</v>
      </c>
      <c r="B230" s="9">
        <v>4441</v>
      </c>
      <c r="C230" s="9">
        <v>53292</v>
      </c>
      <c r="D230" s="9">
        <v>159</v>
      </c>
      <c r="E230" s="10" t="s">
        <v>7</v>
      </c>
      <c r="F230" s="9">
        <v>9.4235532537716729E-2</v>
      </c>
    </row>
    <row r="231" spans="1:6" x14ac:dyDescent="0.3">
      <c r="A231" s="8">
        <v>45783</v>
      </c>
      <c r="B231" s="9">
        <v>1952</v>
      </c>
      <c r="C231" s="9">
        <v>15616</v>
      </c>
      <c r="D231" s="9">
        <v>235</v>
      </c>
      <c r="E231" s="10" t="s">
        <v>7</v>
      </c>
      <c r="F231" s="9">
        <v>0.16540727459016394</v>
      </c>
    </row>
    <row r="232" spans="1:6" x14ac:dyDescent="0.3">
      <c r="A232" s="8">
        <v>45786</v>
      </c>
      <c r="B232" s="9">
        <v>3367</v>
      </c>
      <c r="C232" s="9">
        <v>63973</v>
      </c>
      <c r="D232" s="9">
        <v>157</v>
      </c>
      <c r="E232" s="10" t="s">
        <v>7</v>
      </c>
      <c r="F232" s="9">
        <v>5.8243321401216137E-2</v>
      </c>
    </row>
    <row r="233" spans="1:6" x14ac:dyDescent="0.3">
      <c r="A233" s="5">
        <v>45790</v>
      </c>
      <c r="B233" s="6">
        <v>602</v>
      </c>
      <c r="C233" s="6">
        <v>4214</v>
      </c>
      <c r="D233" s="6">
        <v>164</v>
      </c>
      <c r="E233" s="7" t="s">
        <v>7</v>
      </c>
      <c r="F233" s="6">
        <v>0.32083531086853345</v>
      </c>
    </row>
    <row r="234" spans="1:6" x14ac:dyDescent="0.3">
      <c r="A234" s="8">
        <v>45791</v>
      </c>
      <c r="B234" s="9">
        <v>2634</v>
      </c>
      <c r="C234" s="9">
        <v>28974</v>
      </c>
      <c r="D234" s="9">
        <v>277</v>
      </c>
      <c r="E234" s="10" t="s">
        <v>7</v>
      </c>
      <c r="F234" s="9">
        <v>0.12428384068475185</v>
      </c>
    </row>
    <row r="235" spans="1:6" x14ac:dyDescent="0.3">
      <c r="A235" s="8">
        <v>45457</v>
      </c>
      <c r="B235" s="9">
        <v>498</v>
      </c>
      <c r="C235" s="9">
        <v>4482</v>
      </c>
      <c r="D235" s="9">
        <v>32</v>
      </c>
      <c r="E235" s="10" t="s">
        <v>8</v>
      </c>
      <c r="F235" s="9">
        <v>0.12896028558679162</v>
      </c>
    </row>
    <row r="236" spans="1:6" x14ac:dyDescent="0.3">
      <c r="A236" s="8">
        <v>45460</v>
      </c>
      <c r="B236" s="9">
        <v>1226</v>
      </c>
      <c r="C236" s="9">
        <v>14712</v>
      </c>
      <c r="D236" s="9">
        <v>123</v>
      </c>
      <c r="E236" s="10" t="s">
        <v>8</v>
      </c>
      <c r="F236" s="9">
        <v>9.1897770527460579E-2</v>
      </c>
    </row>
    <row r="237" spans="1:6" x14ac:dyDescent="0.3">
      <c r="A237" s="5">
        <v>45462</v>
      </c>
      <c r="B237" s="6">
        <v>4731</v>
      </c>
      <c r="C237" s="6">
        <v>28386</v>
      </c>
      <c r="D237" s="6">
        <v>89</v>
      </c>
      <c r="E237" s="7" t="s">
        <v>8</v>
      </c>
      <c r="F237" s="6">
        <v>0.18248432325794406</v>
      </c>
    </row>
    <row r="238" spans="1:6" x14ac:dyDescent="0.3">
      <c r="A238" s="5">
        <v>45465</v>
      </c>
      <c r="B238" s="6">
        <v>3828</v>
      </c>
      <c r="C238" s="6">
        <v>30624</v>
      </c>
      <c r="D238" s="6">
        <v>235</v>
      </c>
      <c r="E238" s="7" t="s">
        <v>8</v>
      </c>
      <c r="F238" s="6">
        <v>0.13809430512016718</v>
      </c>
    </row>
    <row r="239" spans="1:6" x14ac:dyDescent="0.3">
      <c r="A239" s="5">
        <v>45474</v>
      </c>
      <c r="B239" s="6">
        <v>4808</v>
      </c>
      <c r="C239" s="6">
        <v>72120</v>
      </c>
      <c r="D239" s="6">
        <v>195</v>
      </c>
      <c r="E239" s="7" t="s">
        <v>8</v>
      </c>
      <c r="F239" s="6">
        <v>8.1808097615085965E-2</v>
      </c>
    </row>
    <row r="240" spans="1:6" x14ac:dyDescent="0.3">
      <c r="A240" s="5">
        <v>45480</v>
      </c>
      <c r="B240" s="6">
        <v>4767</v>
      </c>
      <c r="C240" s="6">
        <v>28602</v>
      </c>
      <c r="D240" s="6">
        <v>210</v>
      </c>
      <c r="E240" s="7" t="s">
        <v>8</v>
      </c>
      <c r="F240" s="6">
        <v>0.18519683938186141</v>
      </c>
    </row>
    <row r="241" spans="1:6" x14ac:dyDescent="0.3">
      <c r="A241" s="8">
        <v>45483</v>
      </c>
      <c r="B241" s="9">
        <v>3099</v>
      </c>
      <c r="C241" s="9">
        <v>43386</v>
      </c>
      <c r="D241" s="9">
        <v>52</v>
      </c>
      <c r="E241" s="10" t="s">
        <v>8</v>
      </c>
      <c r="F241" s="9">
        <v>9.1365878393951966E-2</v>
      </c>
    </row>
    <row r="242" spans="1:6" x14ac:dyDescent="0.3">
      <c r="A242" s="5">
        <v>45484</v>
      </c>
      <c r="B242" s="6">
        <v>3134</v>
      </c>
      <c r="C242" s="6">
        <v>21938</v>
      </c>
      <c r="D242" s="6">
        <v>130</v>
      </c>
      <c r="E242" s="7" t="s">
        <v>8</v>
      </c>
      <c r="F242" s="6">
        <v>0.20357370772176134</v>
      </c>
    </row>
    <row r="243" spans="1:6" x14ac:dyDescent="0.3">
      <c r="A243" s="8">
        <v>45494</v>
      </c>
      <c r="B243" s="9">
        <v>2147</v>
      </c>
      <c r="C243" s="9">
        <v>17176</v>
      </c>
      <c r="D243" s="9">
        <v>170</v>
      </c>
      <c r="E243" s="10" t="s">
        <v>8</v>
      </c>
      <c r="F243" s="9">
        <v>0.17291569632044715</v>
      </c>
    </row>
    <row r="244" spans="1:6" x14ac:dyDescent="0.3">
      <c r="A244" s="8">
        <v>45496</v>
      </c>
      <c r="B244" s="9">
        <v>4775</v>
      </c>
      <c r="C244" s="9">
        <v>47750</v>
      </c>
      <c r="D244" s="9">
        <v>187</v>
      </c>
      <c r="E244" s="10" t="s">
        <v>8</v>
      </c>
      <c r="F244" s="9">
        <v>0.10793717277486911</v>
      </c>
    </row>
    <row r="245" spans="1:6" x14ac:dyDescent="0.3">
      <c r="A245" s="8">
        <v>45502</v>
      </c>
      <c r="B245" s="9">
        <v>498</v>
      </c>
      <c r="C245" s="9">
        <v>4980</v>
      </c>
      <c r="D245" s="9">
        <v>185</v>
      </c>
      <c r="E245" s="10" t="s">
        <v>8</v>
      </c>
      <c r="F245" s="9">
        <v>0.32349397590361445</v>
      </c>
    </row>
    <row r="246" spans="1:6" x14ac:dyDescent="0.3">
      <c r="A246" s="5">
        <v>45504</v>
      </c>
      <c r="B246" s="6">
        <v>2278</v>
      </c>
      <c r="C246" s="6">
        <v>13668</v>
      </c>
      <c r="D246" s="6">
        <v>275</v>
      </c>
      <c r="E246" s="7" t="s">
        <v>8</v>
      </c>
      <c r="F246" s="6">
        <v>0.19088381621305239</v>
      </c>
    </row>
    <row r="247" spans="1:6" x14ac:dyDescent="0.3">
      <c r="A247" s="8">
        <v>45509</v>
      </c>
      <c r="B247" s="9">
        <v>1741</v>
      </c>
      <c r="C247" s="9">
        <v>17410</v>
      </c>
      <c r="D247" s="9">
        <v>58</v>
      </c>
      <c r="E247" s="10" t="s">
        <v>8</v>
      </c>
      <c r="F247" s="9">
        <v>0.16754738655944859</v>
      </c>
    </row>
    <row r="248" spans="1:6" x14ac:dyDescent="0.3">
      <c r="A248" s="5">
        <v>45518</v>
      </c>
      <c r="B248" s="6">
        <v>3073</v>
      </c>
      <c r="C248" s="6">
        <v>52241</v>
      </c>
      <c r="D248" s="6">
        <v>246</v>
      </c>
      <c r="E248" s="7" t="s">
        <v>8</v>
      </c>
      <c r="F248" s="6">
        <v>7.2739802071170159E-2</v>
      </c>
    </row>
    <row r="249" spans="1:6" x14ac:dyDescent="0.3">
      <c r="A249" s="5">
        <v>45528</v>
      </c>
      <c r="B249" s="6">
        <v>1082</v>
      </c>
      <c r="C249" s="6">
        <v>19476</v>
      </c>
      <c r="D249" s="6">
        <v>20</v>
      </c>
      <c r="E249" s="7" t="s">
        <v>8</v>
      </c>
      <c r="F249" s="6">
        <v>9.1137810638734856E-2</v>
      </c>
    </row>
    <row r="250" spans="1:6" x14ac:dyDescent="0.3">
      <c r="A250" s="8">
        <v>45531</v>
      </c>
      <c r="B250" s="9">
        <v>3960</v>
      </c>
      <c r="C250" s="9">
        <v>35640</v>
      </c>
      <c r="D250" s="9">
        <v>208</v>
      </c>
      <c r="E250" s="10" t="s">
        <v>8</v>
      </c>
      <c r="F250" s="9">
        <v>0.11879910213243547</v>
      </c>
    </row>
    <row r="251" spans="1:6" x14ac:dyDescent="0.3">
      <c r="A251" s="8">
        <v>45537</v>
      </c>
      <c r="B251" s="9">
        <v>4905</v>
      </c>
      <c r="C251" s="9">
        <v>98100</v>
      </c>
      <c r="D251" s="9">
        <v>279</v>
      </c>
      <c r="E251" s="10" t="s">
        <v>8</v>
      </c>
      <c r="F251" s="9">
        <v>5.9928644240570844E-2</v>
      </c>
    </row>
    <row r="252" spans="1:6" x14ac:dyDescent="0.3">
      <c r="A252" s="8">
        <v>45552</v>
      </c>
      <c r="B252" s="9">
        <v>2076</v>
      </c>
      <c r="C252" s="9">
        <v>33216</v>
      </c>
      <c r="D252" s="9">
        <v>51</v>
      </c>
      <c r="E252" s="10" t="s">
        <v>8</v>
      </c>
      <c r="F252" s="9">
        <v>7.1501685934489398E-2</v>
      </c>
    </row>
    <row r="253" spans="1:6" x14ac:dyDescent="0.3">
      <c r="A253" s="5">
        <v>45553</v>
      </c>
      <c r="B253" s="6">
        <v>2143</v>
      </c>
      <c r="C253" s="6">
        <v>40717</v>
      </c>
      <c r="D253" s="6">
        <v>248</v>
      </c>
      <c r="E253" s="7" t="s">
        <v>8</v>
      </c>
      <c r="F253" s="6">
        <v>5.7936488444630008E-2</v>
      </c>
    </row>
    <row r="254" spans="1:6" x14ac:dyDescent="0.3">
      <c r="A254" s="8">
        <v>45567</v>
      </c>
      <c r="B254" s="9">
        <v>4419</v>
      </c>
      <c r="C254" s="9">
        <v>44190</v>
      </c>
      <c r="D254" s="9">
        <v>10</v>
      </c>
      <c r="E254" s="10" t="s">
        <v>8</v>
      </c>
      <c r="F254" s="9">
        <v>0.11369088028965829</v>
      </c>
    </row>
    <row r="255" spans="1:6" x14ac:dyDescent="0.3">
      <c r="A255" s="8">
        <v>45569</v>
      </c>
      <c r="B255" s="9">
        <v>4187</v>
      </c>
      <c r="C255" s="9">
        <v>66992</v>
      </c>
      <c r="D255" s="9">
        <v>62</v>
      </c>
      <c r="E255" s="10" t="s">
        <v>8</v>
      </c>
      <c r="F255" s="9">
        <v>6.3947934081681396E-2</v>
      </c>
    </row>
    <row r="256" spans="1:6" x14ac:dyDescent="0.3">
      <c r="A256" s="5">
        <v>45586</v>
      </c>
      <c r="B256" s="6">
        <v>3801</v>
      </c>
      <c r="C256" s="6">
        <v>38010</v>
      </c>
      <c r="D256" s="6">
        <v>236</v>
      </c>
      <c r="E256" s="7" t="s">
        <v>8</v>
      </c>
      <c r="F256" s="6">
        <v>0.13599052880820836</v>
      </c>
    </row>
    <row r="257" spans="1:6" x14ac:dyDescent="0.3">
      <c r="A257" s="5">
        <v>45586</v>
      </c>
      <c r="B257" s="6">
        <v>780</v>
      </c>
      <c r="C257" s="6">
        <v>8580</v>
      </c>
      <c r="D257" s="6">
        <v>91</v>
      </c>
      <c r="E257" s="7" t="s">
        <v>8</v>
      </c>
      <c r="F257" s="6">
        <v>0.23414918414918415</v>
      </c>
    </row>
    <row r="258" spans="1:6" x14ac:dyDescent="0.3">
      <c r="A258" s="5">
        <v>45586</v>
      </c>
      <c r="B258" s="6">
        <v>4275</v>
      </c>
      <c r="C258" s="6">
        <v>64125</v>
      </c>
      <c r="D258" s="6">
        <v>104</v>
      </c>
      <c r="E258" s="7" t="s">
        <v>8</v>
      </c>
      <c r="F258" s="6">
        <v>8.3274853801169585E-2</v>
      </c>
    </row>
    <row r="259" spans="1:6" x14ac:dyDescent="0.3">
      <c r="A259" s="8">
        <v>45587</v>
      </c>
      <c r="B259" s="9">
        <v>3770</v>
      </c>
      <c r="C259" s="9">
        <v>71630</v>
      </c>
      <c r="D259" s="9">
        <v>76</v>
      </c>
      <c r="E259" s="10" t="s">
        <v>8</v>
      </c>
      <c r="F259" s="9">
        <v>6.7234398994834563E-2</v>
      </c>
    </row>
    <row r="260" spans="1:6" x14ac:dyDescent="0.3">
      <c r="A260" s="8">
        <v>45597</v>
      </c>
      <c r="B260" s="9">
        <v>3371</v>
      </c>
      <c r="C260" s="9">
        <v>50565</v>
      </c>
      <c r="D260" s="9">
        <v>176</v>
      </c>
      <c r="E260" s="10" t="s">
        <v>8</v>
      </c>
      <c r="F260" s="9">
        <v>7.5229902106199939E-2</v>
      </c>
    </row>
    <row r="261" spans="1:6" x14ac:dyDescent="0.3">
      <c r="A261" s="5">
        <v>45603</v>
      </c>
      <c r="B261" s="6">
        <v>1121</v>
      </c>
      <c r="C261" s="6">
        <v>15694</v>
      </c>
      <c r="D261" s="6">
        <v>99</v>
      </c>
      <c r="E261" s="7" t="s">
        <v>8</v>
      </c>
      <c r="F261" s="6">
        <v>8.1177520071364848E-2</v>
      </c>
    </row>
    <row r="262" spans="1:6" x14ac:dyDescent="0.3">
      <c r="A262" s="5">
        <v>45603</v>
      </c>
      <c r="B262" s="6">
        <v>129</v>
      </c>
      <c r="C262" s="6">
        <v>1290</v>
      </c>
      <c r="D262" s="6">
        <v>238</v>
      </c>
      <c r="E262" s="7" t="s">
        <v>8</v>
      </c>
      <c r="F262" s="6">
        <v>0.70387596899224802</v>
      </c>
    </row>
    <row r="263" spans="1:6" x14ac:dyDescent="0.3">
      <c r="A263" s="5">
        <v>45608</v>
      </c>
      <c r="B263" s="6">
        <v>2418</v>
      </c>
      <c r="C263" s="6">
        <v>43524</v>
      </c>
      <c r="D263" s="6">
        <v>182</v>
      </c>
      <c r="E263" s="7" t="s">
        <v>8</v>
      </c>
      <c r="F263" s="6">
        <v>7.412002573292896E-2</v>
      </c>
    </row>
    <row r="264" spans="1:6" x14ac:dyDescent="0.3">
      <c r="A264" s="8">
        <v>45614</v>
      </c>
      <c r="B264" s="9">
        <v>1171</v>
      </c>
      <c r="C264" s="9">
        <v>22249</v>
      </c>
      <c r="D264" s="9">
        <v>114</v>
      </c>
      <c r="E264" s="10" t="s">
        <v>8</v>
      </c>
      <c r="F264" s="9">
        <v>7.5868578363072495E-2</v>
      </c>
    </row>
    <row r="265" spans="1:6" x14ac:dyDescent="0.3">
      <c r="A265" s="8">
        <v>45617</v>
      </c>
      <c r="B265" s="9">
        <v>3773</v>
      </c>
      <c r="C265" s="9">
        <v>71687</v>
      </c>
      <c r="D265" s="9">
        <v>286</v>
      </c>
      <c r="E265" s="10" t="s">
        <v>8</v>
      </c>
      <c r="F265" s="9">
        <v>5.7332570758993957E-2</v>
      </c>
    </row>
    <row r="266" spans="1:6" x14ac:dyDescent="0.3">
      <c r="A266" s="5">
        <v>45629</v>
      </c>
      <c r="B266" s="6">
        <v>3711</v>
      </c>
      <c r="C266" s="6">
        <v>48243</v>
      </c>
      <c r="D266" s="6">
        <v>11</v>
      </c>
      <c r="E266" s="7" t="s">
        <v>8</v>
      </c>
      <c r="F266" s="6">
        <v>9.023070704558174E-2</v>
      </c>
    </row>
    <row r="267" spans="1:6" x14ac:dyDescent="0.3">
      <c r="A267" s="8">
        <v>45629</v>
      </c>
      <c r="B267" s="9">
        <v>4285</v>
      </c>
      <c r="C267" s="9">
        <v>55705</v>
      </c>
      <c r="D267" s="9">
        <v>51</v>
      </c>
      <c r="E267" s="10" t="s">
        <v>8</v>
      </c>
      <c r="F267" s="9">
        <v>9.9578134817341346E-2</v>
      </c>
    </row>
    <row r="268" spans="1:6" x14ac:dyDescent="0.3">
      <c r="A268" s="8">
        <v>45631</v>
      </c>
      <c r="B268" s="9">
        <v>1330</v>
      </c>
      <c r="C268" s="9">
        <v>15960</v>
      </c>
      <c r="D268" s="9">
        <v>229</v>
      </c>
      <c r="E268" s="10" t="s">
        <v>8</v>
      </c>
      <c r="F268" s="9">
        <v>0.14348370927318296</v>
      </c>
    </row>
    <row r="269" spans="1:6" x14ac:dyDescent="0.3">
      <c r="A269" s="8">
        <v>45640</v>
      </c>
      <c r="B269" s="9">
        <v>2174</v>
      </c>
      <c r="C269" s="9">
        <v>13044</v>
      </c>
      <c r="D269" s="9">
        <v>137</v>
      </c>
      <c r="E269" s="10" t="s">
        <v>8</v>
      </c>
      <c r="F269" s="9">
        <v>0.21826126954921804</v>
      </c>
    </row>
    <row r="270" spans="1:6" x14ac:dyDescent="0.3">
      <c r="A270" s="8">
        <v>45642</v>
      </c>
      <c r="B270" s="9">
        <v>438</v>
      </c>
      <c r="C270" s="9">
        <v>3066</v>
      </c>
      <c r="D270" s="9">
        <v>282</v>
      </c>
      <c r="E270" s="10" t="s">
        <v>8</v>
      </c>
      <c r="F270" s="9">
        <v>0.28245270711024134</v>
      </c>
    </row>
    <row r="271" spans="1:6" x14ac:dyDescent="0.3">
      <c r="A271" s="8">
        <v>45648</v>
      </c>
      <c r="B271" s="9">
        <v>3196</v>
      </c>
      <c r="C271" s="9">
        <v>35156</v>
      </c>
      <c r="D271" s="9">
        <v>241</v>
      </c>
      <c r="E271" s="10" t="s">
        <v>8</v>
      </c>
      <c r="F271" s="9">
        <v>0.1283706906360223</v>
      </c>
    </row>
    <row r="272" spans="1:6" x14ac:dyDescent="0.3">
      <c r="A272" s="8">
        <v>45657</v>
      </c>
      <c r="B272" s="9">
        <v>1018</v>
      </c>
      <c r="C272" s="9">
        <v>18324</v>
      </c>
      <c r="D272" s="9">
        <v>38</v>
      </c>
      <c r="E272" s="10" t="s">
        <v>8</v>
      </c>
      <c r="F272" s="9">
        <v>9.8068107400130972E-2</v>
      </c>
    </row>
    <row r="273" spans="1:6" x14ac:dyDescent="0.3">
      <c r="A273" s="5">
        <v>45658</v>
      </c>
      <c r="B273" s="6">
        <v>2234</v>
      </c>
      <c r="C273" s="6">
        <v>11170</v>
      </c>
      <c r="D273" s="6">
        <v>198</v>
      </c>
      <c r="E273" s="7" t="s">
        <v>8</v>
      </c>
      <c r="F273" s="6">
        <v>0.29713518352730528</v>
      </c>
    </row>
    <row r="274" spans="1:6" x14ac:dyDescent="0.3">
      <c r="A274" s="5">
        <v>45667</v>
      </c>
      <c r="B274" s="6">
        <v>3092</v>
      </c>
      <c r="C274" s="6">
        <v>27828</v>
      </c>
      <c r="D274" s="6">
        <v>102</v>
      </c>
      <c r="E274" s="7" t="s">
        <v>8</v>
      </c>
      <c r="F274" s="6">
        <v>0.12537731780940059</v>
      </c>
    </row>
    <row r="275" spans="1:6" x14ac:dyDescent="0.3">
      <c r="A275" s="8">
        <v>45668</v>
      </c>
      <c r="B275" s="9">
        <v>4523</v>
      </c>
      <c r="C275" s="9">
        <v>49753</v>
      </c>
      <c r="D275" s="9">
        <v>71</v>
      </c>
      <c r="E275" s="10" t="s">
        <v>8</v>
      </c>
      <c r="F275" s="9">
        <v>9.5290736237010829E-2</v>
      </c>
    </row>
    <row r="276" spans="1:6" x14ac:dyDescent="0.3">
      <c r="A276" s="5">
        <v>45671</v>
      </c>
      <c r="B276" s="6">
        <v>2692</v>
      </c>
      <c r="C276" s="6">
        <v>21536</v>
      </c>
      <c r="D276" s="6">
        <v>224</v>
      </c>
      <c r="E276" s="7" t="s">
        <v>8</v>
      </c>
      <c r="F276" s="6">
        <v>0.13331166419019316</v>
      </c>
    </row>
    <row r="277" spans="1:6" x14ac:dyDescent="0.3">
      <c r="A277" s="8">
        <v>45672</v>
      </c>
      <c r="B277" s="9">
        <v>802</v>
      </c>
      <c r="C277" s="9">
        <v>14436</v>
      </c>
      <c r="D277" s="9">
        <v>49</v>
      </c>
      <c r="E277" s="10" t="s">
        <v>8</v>
      </c>
      <c r="F277" s="9">
        <v>9.0606816292601824E-2</v>
      </c>
    </row>
    <row r="278" spans="1:6" x14ac:dyDescent="0.3">
      <c r="A278" s="5">
        <v>45687</v>
      </c>
      <c r="B278" s="6">
        <v>59</v>
      </c>
      <c r="C278" s="6">
        <v>590</v>
      </c>
      <c r="D278" s="6">
        <v>293</v>
      </c>
      <c r="E278" s="7" t="s">
        <v>8</v>
      </c>
      <c r="F278" s="6">
        <v>0.53389830508474578</v>
      </c>
    </row>
    <row r="279" spans="1:6" x14ac:dyDescent="0.3">
      <c r="A279" s="8">
        <v>45695</v>
      </c>
      <c r="B279" s="9">
        <v>1970</v>
      </c>
      <c r="C279" s="9">
        <v>9850</v>
      </c>
      <c r="D279" s="9">
        <v>117</v>
      </c>
      <c r="E279" s="10" t="s">
        <v>8</v>
      </c>
      <c r="F279" s="9">
        <v>0.31705583756345179</v>
      </c>
    </row>
    <row r="280" spans="1:6" x14ac:dyDescent="0.3">
      <c r="A280" s="8">
        <v>45698</v>
      </c>
      <c r="B280" s="9">
        <v>562</v>
      </c>
      <c r="C280" s="9">
        <v>3372</v>
      </c>
      <c r="D280" s="9">
        <v>93</v>
      </c>
      <c r="E280" s="10" t="s">
        <v>8</v>
      </c>
      <c r="F280" s="9">
        <v>0.25771055753262156</v>
      </c>
    </row>
    <row r="281" spans="1:6" x14ac:dyDescent="0.3">
      <c r="A281" s="5">
        <v>45705</v>
      </c>
      <c r="B281" s="6">
        <v>3138</v>
      </c>
      <c r="C281" s="6">
        <v>28242</v>
      </c>
      <c r="D281" s="6">
        <v>87</v>
      </c>
      <c r="E281" s="7" t="s">
        <v>8</v>
      </c>
      <c r="F281" s="6">
        <v>0.12577012959422137</v>
      </c>
    </row>
    <row r="282" spans="1:6" x14ac:dyDescent="0.3">
      <c r="A282" s="8">
        <v>45712</v>
      </c>
      <c r="B282" s="9">
        <v>804</v>
      </c>
      <c r="C282" s="9">
        <v>4020</v>
      </c>
      <c r="D282" s="9">
        <v>11</v>
      </c>
      <c r="E282" s="10" t="s">
        <v>8</v>
      </c>
      <c r="F282" s="9">
        <v>0.36965174129353234</v>
      </c>
    </row>
    <row r="283" spans="1:6" x14ac:dyDescent="0.3">
      <c r="A283" s="5">
        <v>45713</v>
      </c>
      <c r="B283" s="6">
        <v>3095</v>
      </c>
      <c r="C283" s="6">
        <v>55710</v>
      </c>
      <c r="D283" s="6">
        <v>93</v>
      </c>
      <c r="E283" s="7" t="s">
        <v>8</v>
      </c>
      <c r="F283" s="6">
        <v>5.7655717106444085E-2</v>
      </c>
    </row>
    <row r="284" spans="1:6" x14ac:dyDescent="0.3">
      <c r="A284" s="5">
        <v>45715</v>
      </c>
      <c r="B284" s="6">
        <v>1570</v>
      </c>
      <c r="C284" s="6">
        <v>25120</v>
      </c>
      <c r="D284" s="6">
        <v>133</v>
      </c>
      <c r="E284" s="7" t="s">
        <v>8</v>
      </c>
      <c r="F284" s="6">
        <v>8.0294585987261149E-2</v>
      </c>
    </row>
    <row r="285" spans="1:6" x14ac:dyDescent="0.3">
      <c r="A285" s="5">
        <v>45719</v>
      </c>
      <c r="B285" s="6">
        <v>296</v>
      </c>
      <c r="C285" s="6">
        <v>5624</v>
      </c>
      <c r="D285" s="6">
        <v>88</v>
      </c>
      <c r="E285" s="7" t="s">
        <v>8</v>
      </c>
      <c r="F285" s="6">
        <v>8.837126600284495E-2</v>
      </c>
    </row>
    <row r="286" spans="1:6" x14ac:dyDescent="0.3">
      <c r="A286" s="5">
        <v>45719</v>
      </c>
      <c r="B286" s="6">
        <v>3874</v>
      </c>
      <c r="C286" s="6">
        <v>38740</v>
      </c>
      <c r="D286" s="6">
        <v>219</v>
      </c>
      <c r="E286" s="7" t="s">
        <v>8</v>
      </c>
      <c r="F286" s="6">
        <v>0.123309241094476</v>
      </c>
    </row>
    <row r="287" spans="1:6" x14ac:dyDescent="0.3">
      <c r="A287" s="8">
        <v>45724</v>
      </c>
      <c r="B287" s="9">
        <v>1292</v>
      </c>
      <c r="C287" s="9">
        <v>25840</v>
      </c>
      <c r="D287" s="9">
        <v>149</v>
      </c>
      <c r="E287" s="10" t="s">
        <v>8</v>
      </c>
      <c r="F287" s="9">
        <v>9.3421052631578946E-2</v>
      </c>
    </row>
    <row r="288" spans="1:6" x14ac:dyDescent="0.3">
      <c r="A288" s="5">
        <v>45727</v>
      </c>
      <c r="B288" s="6">
        <v>4241</v>
      </c>
      <c r="C288" s="6">
        <v>72097</v>
      </c>
      <c r="D288" s="6">
        <v>167</v>
      </c>
      <c r="E288" s="7" t="s">
        <v>8</v>
      </c>
      <c r="F288" s="6">
        <v>7.198635172059864E-2</v>
      </c>
    </row>
    <row r="289" spans="1:6" x14ac:dyDescent="0.3">
      <c r="A289" s="5">
        <v>45727</v>
      </c>
      <c r="B289" s="6">
        <v>1950</v>
      </c>
      <c r="C289" s="6">
        <v>37050</v>
      </c>
      <c r="D289" s="6">
        <v>119</v>
      </c>
      <c r="E289" s="7" t="s">
        <v>8</v>
      </c>
      <c r="F289" s="6">
        <v>7.349527665317139E-2</v>
      </c>
    </row>
    <row r="290" spans="1:6" x14ac:dyDescent="0.3">
      <c r="A290" s="5">
        <v>45739</v>
      </c>
      <c r="B290" s="6">
        <v>3655</v>
      </c>
      <c r="C290" s="6">
        <v>32895</v>
      </c>
      <c r="D290" s="6">
        <v>199</v>
      </c>
      <c r="E290" s="7" t="s">
        <v>8</v>
      </c>
      <c r="F290" s="6">
        <v>0.13707250341997265</v>
      </c>
    </row>
    <row r="291" spans="1:6" x14ac:dyDescent="0.3">
      <c r="A291" s="8">
        <v>45739</v>
      </c>
      <c r="B291" s="9">
        <v>4453</v>
      </c>
      <c r="C291" s="9">
        <v>31171</v>
      </c>
      <c r="D291" s="9">
        <v>23</v>
      </c>
      <c r="E291" s="10" t="s">
        <v>8</v>
      </c>
      <c r="F291" s="9">
        <v>0.15989220750056141</v>
      </c>
    </row>
    <row r="292" spans="1:6" x14ac:dyDescent="0.3">
      <c r="A292" s="5">
        <v>45741</v>
      </c>
      <c r="B292" s="6">
        <v>2070</v>
      </c>
      <c r="C292" s="6">
        <v>39330</v>
      </c>
      <c r="D292" s="6">
        <v>114</v>
      </c>
      <c r="E292" s="7" t="s">
        <v>8</v>
      </c>
      <c r="F292" s="6">
        <v>6.9438087973557078E-2</v>
      </c>
    </row>
    <row r="293" spans="1:6" x14ac:dyDescent="0.3">
      <c r="A293" s="5">
        <v>45745</v>
      </c>
      <c r="B293" s="6">
        <v>305</v>
      </c>
      <c r="C293" s="6">
        <v>4575</v>
      </c>
      <c r="D293" s="6">
        <v>234</v>
      </c>
      <c r="E293" s="7" t="s">
        <v>8</v>
      </c>
      <c r="F293" s="6">
        <v>0.16065573770491803</v>
      </c>
    </row>
    <row r="294" spans="1:6" x14ac:dyDescent="0.3">
      <c r="A294" s="8">
        <v>45753</v>
      </c>
      <c r="B294" s="9">
        <v>3090</v>
      </c>
      <c r="C294" s="9">
        <v>49440</v>
      </c>
      <c r="D294" s="9">
        <v>25</v>
      </c>
      <c r="E294" s="10" t="s">
        <v>8</v>
      </c>
      <c r="F294" s="9">
        <v>7.9915048543689318E-2</v>
      </c>
    </row>
    <row r="295" spans="1:6" x14ac:dyDescent="0.3">
      <c r="A295" s="8">
        <v>45753</v>
      </c>
      <c r="B295" s="9">
        <v>4236</v>
      </c>
      <c r="C295" s="9">
        <v>21180</v>
      </c>
      <c r="D295" s="9">
        <v>238</v>
      </c>
      <c r="E295" s="10" t="s">
        <v>8</v>
      </c>
      <c r="F295" s="9">
        <v>0.24763928234183191</v>
      </c>
    </row>
    <row r="296" spans="1:6" x14ac:dyDescent="0.3">
      <c r="A296" s="8">
        <v>45755</v>
      </c>
      <c r="B296" s="9">
        <v>4501</v>
      </c>
      <c r="C296" s="9">
        <v>22505</v>
      </c>
      <c r="D296" s="9">
        <v>132</v>
      </c>
      <c r="E296" s="10" t="s">
        <v>8</v>
      </c>
      <c r="F296" s="9">
        <v>0.23101532992668297</v>
      </c>
    </row>
    <row r="297" spans="1:6" x14ac:dyDescent="0.3">
      <c r="A297" s="5">
        <v>45769</v>
      </c>
      <c r="B297" s="6">
        <v>4804</v>
      </c>
      <c r="C297" s="6">
        <v>28824</v>
      </c>
      <c r="D297" s="6">
        <v>47</v>
      </c>
      <c r="E297" s="7" t="s">
        <v>8</v>
      </c>
      <c r="F297" s="6">
        <v>0.19511518179295032</v>
      </c>
    </row>
    <row r="298" spans="1:6" x14ac:dyDescent="0.3">
      <c r="A298" s="5">
        <v>45771</v>
      </c>
      <c r="B298" s="6">
        <v>3731</v>
      </c>
      <c r="C298" s="6">
        <v>55965</v>
      </c>
      <c r="D298" s="6">
        <v>103</v>
      </c>
      <c r="E298" s="7" t="s">
        <v>8</v>
      </c>
      <c r="F298" s="6">
        <v>7.1133744304476013E-2</v>
      </c>
    </row>
    <row r="299" spans="1:6" x14ac:dyDescent="0.3">
      <c r="A299" s="5">
        <v>45775</v>
      </c>
      <c r="B299" s="6">
        <v>3577</v>
      </c>
      <c r="C299" s="6">
        <v>67963</v>
      </c>
      <c r="D299" s="6">
        <v>53</v>
      </c>
      <c r="E299" s="7" t="s">
        <v>8</v>
      </c>
      <c r="F299" s="6">
        <v>6.8655003457763777E-2</v>
      </c>
    </row>
    <row r="300" spans="1:6" x14ac:dyDescent="0.3">
      <c r="A300" s="5">
        <v>45776</v>
      </c>
      <c r="B300" s="6">
        <v>249</v>
      </c>
      <c r="C300" s="6">
        <v>1494</v>
      </c>
      <c r="D300" s="6">
        <v>201</v>
      </c>
      <c r="E300" s="7" t="s">
        <v>8</v>
      </c>
      <c r="F300" s="6">
        <v>0.7168674698795181</v>
      </c>
    </row>
    <row r="301" spans="1:6" x14ac:dyDescent="0.3">
      <c r="A301" s="5">
        <v>45779</v>
      </c>
      <c r="B301" s="6">
        <v>1108</v>
      </c>
      <c r="C301" s="6">
        <v>8864</v>
      </c>
      <c r="D301" s="6">
        <v>97</v>
      </c>
      <c r="E301" s="7" t="s">
        <v>8</v>
      </c>
      <c r="F301" s="6">
        <v>0.16888537906137185</v>
      </c>
    </row>
  </sheetData>
  <sortState xmlns:xlrd2="http://schemas.microsoft.com/office/spreadsheetml/2017/richdata2" ref="A2:F302">
    <sortCondition ref="E1:E302"/>
  </sortState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D8CB-1D21-4409-B345-CDABA5D2478B}">
  <dimension ref="A1:P306"/>
  <sheetViews>
    <sheetView tabSelected="1" zoomScale="85" zoomScaleNormal="85" workbookViewId="0">
      <selection activeCell="J30" sqref="J30"/>
    </sheetView>
  </sheetViews>
  <sheetFormatPr defaultRowHeight="14.4" outlineLevelRow="2" x14ac:dyDescent="0.3"/>
  <cols>
    <col min="1" max="1" width="12.33203125" customWidth="1"/>
    <col min="2" max="2" width="14.5546875" bestFit="1" customWidth="1"/>
    <col min="3" max="3" width="20.5546875" customWidth="1"/>
    <col min="4" max="4" width="18.109375" style="19" bestFit="1" customWidth="1"/>
    <col min="5" max="5" width="8.88671875" customWidth="1"/>
    <col min="6" max="6" width="16.33203125" bestFit="1" customWidth="1"/>
    <col min="7" max="7" width="17.88671875" bestFit="1" customWidth="1"/>
    <col min="8" max="8" width="18" bestFit="1" customWidth="1"/>
    <col min="9" max="9" width="22.33203125" customWidth="1"/>
    <col min="10" max="10" width="10.6640625" customWidth="1"/>
  </cols>
  <sheetData>
    <row r="1" spans="1:10" ht="15" thickBot="1" x14ac:dyDescent="0.35">
      <c r="A1" s="3" t="s">
        <v>0</v>
      </c>
      <c r="B1" s="4" t="s">
        <v>19</v>
      </c>
      <c r="C1" s="4" t="s">
        <v>4</v>
      </c>
      <c r="D1" s="20" t="s">
        <v>11</v>
      </c>
      <c r="F1" s="3" t="s">
        <v>4</v>
      </c>
      <c r="G1" s="4" t="s">
        <v>9</v>
      </c>
      <c r="H1" s="4" t="s">
        <v>10</v>
      </c>
      <c r="I1" s="49" t="s">
        <v>26</v>
      </c>
    </row>
    <row r="2" spans="1:10" ht="15" outlineLevel="2" thickTop="1" x14ac:dyDescent="0.3">
      <c r="A2" s="31">
        <v>45444</v>
      </c>
      <c r="B2" s="33" t="s">
        <v>21</v>
      </c>
      <c r="C2" s="33" t="s">
        <v>6</v>
      </c>
      <c r="D2" s="2">
        <v>7.5968222442899705E-2</v>
      </c>
      <c r="F2" s="15" t="s">
        <v>6</v>
      </c>
      <c r="G2" s="12">
        <v>45453</v>
      </c>
      <c r="H2" s="12">
        <v>45478</v>
      </c>
      <c r="I2" s="50">
        <v>180000</v>
      </c>
    </row>
    <row r="3" spans="1:10" outlineLevel="2" x14ac:dyDescent="0.3">
      <c r="A3" s="5">
        <v>45445</v>
      </c>
      <c r="B3" s="7" t="s">
        <v>24</v>
      </c>
      <c r="C3" s="7" t="s">
        <v>6</v>
      </c>
      <c r="D3" s="2">
        <v>8.2108498129342594E-2</v>
      </c>
      <c r="F3" s="16" t="s">
        <v>5</v>
      </c>
      <c r="G3" s="13">
        <v>45505</v>
      </c>
      <c r="H3" s="13">
        <v>45535</v>
      </c>
      <c r="I3" s="39">
        <v>160000</v>
      </c>
    </row>
    <row r="4" spans="1:10" outlineLevel="2" x14ac:dyDescent="0.3">
      <c r="A4" s="5">
        <v>45445</v>
      </c>
      <c r="B4" s="7" t="s">
        <v>22</v>
      </c>
      <c r="C4" s="7" t="s">
        <v>6</v>
      </c>
      <c r="D4" s="2">
        <v>1.8129251700680271</v>
      </c>
      <c r="F4" s="17" t="s">
        <v>7</v>
      </c>
      <c r="G4" s="14">
        <v>45570</v>
      </c>
      <c r="H4" s="14">
        <v>45601</v>
      </c>
      <c r="I4" s="50">
        <v>220000</v>
      </c>
    </row>
    <row r="5" spans="1:10" outlineLevel="2" x14ac:dyDescent="0.3">
      <c r="A5" s="5">
        <v>45446</v>
      </c>
      <c r="B5" s="7" t="s">
        <v>24</v>
      </c>
      <c r="C5" s="7" t="s">
        <v>6</v>
      </c>
      <c r="D5" s="2">
        <v>7.0822181933293038E-2</v>
      </c>
      <c r="F5" s="16" t="s">
        <v>8</v>
      </c>
      <c r="G5" s="13">
        <v>45667</v>
      </c>
      <c r="H5" s="13">
        <v>45698</v>
      </c>
      <c r="I5" s="2">
        <v>200000</v>
      </c>
    </row>
    <row r="6" spans="1:10" outlineLevel="2" x14ac:dyDescent="0.3">
      <c r="A6" s="8">
        <v>45449</v>
      </c>
      <c r="B6" s="10" t="s">
        <v>25</v>
      </c>
      <c r="C6" s="10" t="s">
        <v>6</v>
      </c>
      <c r="D6" s="1">
        <v>0.20868152274837512</v>
      </c>
      <c r="J6" s="19"/>
    </row>
    <row r="7" spans="1:10" outlineLevel="2" x14ac:dyDescent="0.3">
      <c r="A7" s="5">
        <v>45449</v>
      </c>
      <c r="B7" s="7" t="s">
        <v>20</v>
      </c>
      <c r="C7" s="7" t="s">
        <v>6</v>
      </c>
      <c r="D7" s="2">
        <v>8.4946236559139784E-2</v>
      </c>
    </row>
    <row r="8" spans="1:10" outlineLevel="2" x14ac:dyDescent="0.3">
      <c r="A8" s="5">
        <v>45450</v>
      </c>
      <c r="B8" s="7" t="s">
        <v>23</v>
      </c>
      <c r="C8" s="7" t="s">
        <v>6</v>
      </c>
      <c r="D8" s="2">
        <v>0.2015852613538989</v>
      </c>
      <c r="F8" s="41" t="s">
        <v>12</v>
      </c>
      <c r="G8" s="42" t="s">
        <v>32</v>
      </c>
      <c r="H8" s="42" t="s">
        <v>33</v>
      </c>
      <c r="I8" s="43" t="s">
        <v>34</v>
      </c>
    </row>
    <row r="9" spans="1:10" outlineLevel="2" x14ac:dyDescent="0.3">
      <c r="A9" s="8">
        <v>45455</v>
      </c>
      <c r="B9" s="10" t="s">
        <v>21</v>
      </c>
      <c r="C9" s="10" t="s">
        <v>6</v>
      </c>
      <c r="D9" s="1">
        <v>0.11232349165596919</v>
      </c>
      <c r="F9" s="44" t="s">
        <v>6</v>
      </c>
      <c r="G9" s="40">
        <f>SUM(D2:D8)</f>
        <v>2.5370370932349764</v>
      </c>
      <c r="H9" s="40">
        <f>SUM(D9:D14)</f>
        <v>0.72166305001481046</v>
      </c>
      <c r="I9" s="45">
        <f>Table19[[#This Row],[ER (Before)]]-Table19[[#This Row],[ER (During)]]/Table19[[#This Row],[ER (Before)]]</f>
        <v>2.2525859703329387</v>
      </c>
    </row>
    <row r="10" spans="1:10" outlineLevel="2" x14ac:dyDescent="0.3">
      <c r="A10" s="5">
        <v>45456</v>
      </c>
      <c r="B10" s="7" t="s">
        <v>22</v>
      </c>
      <c r="C10" s="7" t="s">
        <v>6</v>
      </c>
      <c r="D10" s="2">
        <v>7.7533348349475686E-2</v>
      </c>
      <c r="F10" s="44"/>
      <c r="G10" s="40"/>
      <c r="H10" s="40"/>
      <c r="I10" s="45"/>
    </row>
    <row r="11" spans="1:10" outlineLevel="2" x14ac:dyDescent="0.3">
      <c r="A11" s="8">
        <v>45457</v>
      </c>
      <c r="B11" s="10" t="s">
        <v>22</v>
      </c>
      <c r="C11" s="10" t="s">
        <v>6</v>
      </c>
      <c r="D11" s="1">
        <v>0.23616777446710979</v>
      </c>
      <c r="F11" s="44" t="s">
        <v>5</v>
      </c>
      <c r="G11" s="40">
        <f>SUM(D86:D103)</f>
        <v>2.121156175007394</v>
      </c>
      <c r="H11" s="40">
        <f>SUM(D104:D111)</f>
        <v>1.028412050423805</v>
      </c>
      <c r="I11" s="45">
        <f>Table19[[#This Row],[ER (Before)]]-Table19[[#This Row],[ER (During)]]/Table19[[#This Row],[ER (Before)]]</f>
        <v>1.6363205638717735</v>
      </c>
    </row>
    <row r="12" spans="1:10" outlineLevel="2" x14ac:dyDescent="0.3">
      <c r="A12" s="5">
        <v>45463</v>
      </c>
      <c r="B12" s="7" t="s">
        <v>25</v>
      </c>
      <c r="C12" s="7" t="s">
        <v>6</v>
      </c>
      <c r="D12" s="2">
        <v>5.4081095313322801E-2</v>
      </c>
      <c r="F12" s="44"/>
      <c r="G12" s="40"/>
      <c r="H12" s="40"/>
      <c r="I12" s="45"/>
    </row>
    <row r="13" spans="1:10" outlineLevel="2" x14ac:dyDescent="0.3">
      <c r="A13" s="5">
        <v>45467</v>
      </c>
      <c r="B13" s="7" t="s">
        <v>21</v>
      </c>
      <c r="C13" s="7" t="s">
        <v>6</v>
      </c>
      <c r="D13" s="2">
        <v>0.10768685795253277</v>
      </c>
      <c r="F13" s="44" t="s">
        <v>7</v>
      </c>
      <c r="G13" s="40">
        <f>SUM(D159:D187)</f>
        <v>3.5585268475432756</v>
      </c>
      <c r="H13" s="40">
        <f>SUM(D188:D195)</f>
        <v>1.1213039189231535</v>
      </c>
      <c r="I13" s="45">
        <f>Table19[[#This Row],[ER (Before)]]-Table19[[#This Row],[ER (During)]]/Table19[[#This Row],[ER (Before)]]</f>
        <v>3.243423444656973</v>
      </c>
    </row>
    <row r="14" spans="1:10" outlineLevel="2" x14ac:dyDescent="0.3">
      <c r="A14" s="8">
        <v>45476</v>
      </c>
      <c r="B14" s="10" t="s">
        <v>23</v>
      </c>
      <c r="C14" s="10" t="s">
        <v>6</v>
      </c>
      <c r="D14" s="1">
        <v>0.13387048227640017</v>
      </c>
      <c r="F14" s="44"/>
      <c r="G14" s="40"/>
      <c r="H14" s="40"/>
      <c r="I14" s="45"/>
    </row>
    <row r="15" spans="1:10" outlineLevel="2" x14ac:dyDescent="0.3">
      <c r="A15" s="5">
        <v>45480</v>
      </c>
      <c r="B15" s="7" t="s">
        <v>22</v>
      </c>
      <c r="C15" s="7" t="s">
        <v>6</v>
      </c>
      <c r="D15" s="2">
        <v>0.13576158940397351</v>
      </c>
      <c r="F15" s="44" t="s">
        <v>8</v>
      </c>
      <c r="G15" s="40">
        <f>SUM(D238:D276)</f>
        <v>5.6616756443470564</v>
      </c>
      <c r="H15" s="40">
        <f>SUM(D277:D283)</f>
        <v>1.5532512347100258</v>
      </c>
      <c r="I15" s="45">
        <f>Table19[[#This Row],[ER (Before)]]-Table19[[#This Row],[ER (During)]]/Table19[[#This Row],[ER (Before)]]</f>
        <v>5.3873308509887714</v>
      </c>
    </row>
    <row r="16" spans="1:10" outlineLevel="2" x14ac:dyDescent="0.3">
      <c r="A16" s="8">
        <v>45491</v>
      </c>
      <c r="B16" s="10" t="s">
        <v>24</v>
      </c>
      <c r="C16" s="10" t="s">
        <v>6</v>
      </c>
      <c r="D16" s="1">
        <v>8.7733440816874911E-2</v>
      </c>
      <c r="F16" s="44"/>
      <c r="G16" s="40"/>
      <c r="H16" s="40"/>
      <c r="I16" s="45"/>
    </row>
    <row r="17" spans="1:16" outlineLevel="2" x14ac:dyDescent="0.3">
      <c r="A17" s="5">
        <v>45502</v>
      </c>
      <c r="B17" s="7" t="s">
        <v>20</v>
      </c>
      <c r="C17" s="7" t="s">
        <v>6</v>
      </c>
      <c r="D17" s="2">
        <v>0.12277759141227776</v>
      </c>
      <c r="F17" s="46" t="s">
        <v>35</v>
      </c>
      <c r="G17" s="47">
        <f>G9+G11+G13+G15</f>
        <v>13.878395760132703</v>
      </c>
      <c r="H17" s="47">
        <f>H9+H11+H13+H15</f>
        <v>4.4246302540717952</v>
      </c>
      <c r="I17" s="48">
        <f>Table19[[#This Row],[ER (Before)]]-Table19[[#This Row],[ER (During)]]/Table19[[#This Row],[ER (Before)]]</f>
        <v>13.559581515997797</v>
      </c>
    </row>
    <row r="18" spans="1:16" outlineLevel="2" x14ac:dyDescent="0.3">
      <c r="A18" s="5">
        <v>45509</v>
      </c>
      <c r="B18" s="7" t="s">
        <v>22</v>
      </c>
      <c r="C18" s="7" t="s">
        <v>6</v>
      </c>
      <c r="D18" s="2">
        <v>0.2023049153013052</v>
      </c>
    </row>
    <row r="19" spans="1:16" outlineLevel="2" x14ac:dyDescent="0.3">
      <c r="A19" s="5">
        <v>45511</v>
      </c>
      <c r="B19" s="7" t="s">
        <v>23</v>
      </c>
      <c r="C19" s="7" t="s">
        <v>6</v>
      </c>
      <c r="D19" s="2">
        <v>0.25537047673750718</v>
      </c>
    </row>
    <row r="20" spans="1:16" outlineLevel="2" x14ac:dyDescent="0.3">
      <c r="A20" s="5">
        <v>45515</v>
      </c>
      <c r="B20" s="7" t="s">
        <v>22</v>
      </c>
      <c r="C20" s="7" t="s">
        <v>6</v>
      </c>
      <c r="D20" s="2">
        <v>0.11307081114118571</v>
      </c>
    </row>
    <row r="21" spans="1:16" outlineLevel="2" x14ac:dyDescent="0.3">
      <c r="A21" s="8">
        <v>45517</v>
      </c>
      <c r="B21" s="10" t="s">
        <v>24</v>
      </c>
      <c r="C21" s="10" t="s">
        <v>6</v>
      </c>
      <c r="D21" s="1">
        <v>8.7668609086629767E-2</v>
      </c>
    </row>
    <row r="22" spans="1:16" outlineLevel="2" x14ac:dyDescent="0.3">
      <c r="A22" s="5">
        <v>45521</v>
      </c>
      <c r="B22" s="7" t="s">
        <v>24</v>
      </c>
      <c r="C22" s="7" t="s">
        <v>6</v>
      </c>
      <c r="D22" s="2">
        <v>8.2047718322909427E-2</v>
      </c>
    </row>
    <row r="23" spans="1:16" outlineLevel="2" x14ac:dyDescent="0.3">
      <c r="A23" s="5">
        <v>45523</v>
      </c>
      <c r="B23" s="7" t="s">
        <v>20</v>
      </c>
      <c r="C23" s="7" t="s">
        <v>6</v>
      </c>
      <c r="D23" s="2">
        <v>0.10297222222222223</v>
      </c>
    </row>
    <row r="24" spans="1:16" outlineLevel="2" x14ac:dyDescent="0.3">
      <c r="A24" s="5">
        <v>45526</v>
      </c>
      <c r="B24" s="7" t="s">
        <v>23</v>
      </c>
      <c r="C24" s="7" t="s">
        <v>6</v>
      </c>
      <c r="D24" s="2">
        <v>6.3713620488940623E-2</v>
      </c>
    </row>
    <row r="25" spans="1:16" outlineLevel="2" x14ac:dyDescent="0.3">
      <c r="A25" s="8">
        <v>45530</v>
      </c>
      <c r="B25" s="10" t="s">
        <v>24</v>
      </c>
      <c r="C25" s="10" t="s">
        <v>6</v>
      </c>
      <c r="D25" s="1">
        <v>0.13840458048129492</v>
      </c>
    </row>
    <row r="26" spans="1:16" outlineLevel="2" x14ac:dyDescent="0.3">
      <c r="A26" s="8">
        <v>45537</v>
      </c>
      <c r="B26" s="10" t="s">
        <v>23</v>
      </c>
      <c r="C26" s="10" t="s">
        <v>6</v>
      </c>
      <c r="D26" s="1">
        <v>0.1199202926956749</v>
      </c>
    </row>
    <row r="27" spans="1:16" outlineLevel="2" x14ac:dyDescent="0.3">
      <c r="A27" s="5">
        <v>45549</v>
      </c>
      <c r="B27" s="7" t="s">
        <v>24</v>
      </c>
      <c r="C27" s="7" t="s">
        <v>6</v>
      </c>
      <c r="D27" s="2">
        <v>0.19847328244274809</v>
      </c>
    </row>
    <row r="28" spans="1:16" outlineLevel="2" x14ac:dyDescent="0.3">
      <c r="A28" s="5">
        <v>45552</v>
      </c>
      <c r="B28" s="7" t="s">
        <v>21</v>
      </c>
      <c r="C28" s="7" t="s">
        <v>6</v>
      </c>
      <c r="D28" s="2">
        <v>0.11465952405480581</v>
      </c>
    </row>
    <row r="29" spans="1:16" outlineLevel="2" x14ac:dyDescent="0.3">
      <c r="A29" s="5">
        <v>45560</v>
      </c>
      <c r="B29" s="7" t="s">
        <v>25</v>
      </c>
      <c r="C29" s="7" t="s">
        <v>6</v>
      </c>
      <c r="D29" s="2">
        <v>0.19484607062063539</v>
      </c>
    </row>
    <row r="30" spans="1:16" outlineLevel="2" x14ac:dyDescent="0.3">
      <c r="A30" s="5">
        <v>45567</v>
      </c>
      <c r="B30" s="7" t="s">
        <v>21</v>
      </c>
      <c r="C30" s="7" t="s">
        <v>6</v>
      </c>
      <c r="D30" s="2">
        <v>8.0565268065268064E-2</v>
      </c>
    </row>
    <row r="31" spans="1:16" outlineLevel="2" x14ac:dyDescent="0.3">
      <c r="A31" s="8">
        <v>45567</v>
      </c>
      <c r="B31" s="10" t="s">
        <v>23</v>
      </c>
      <c r="C31" s="10" t="s">
        <v>6</v>
      </c>
      <c r="D31" s="1">
        <v>0.50192307692307692</v>
      </c>
      <c r="P31" t="s">
        <v>36</v>
      </c>
    </row>
    <row r="32" spans="1:16" outlineLevel="2" x14ac:dyDescent="0.3">
      <c r="A32" s="5">
        <v>45567</v>
      </c>
      <c r="B32" s="7" t="s">
        <v>22</v>
      </c>
      <c r="C32" s="7" t="s">
        <v>6</v>
      </c>
      <c r="D32" s="2">
        <v>8.4203612479474554E-2</v>
      </c>
    </row>
    <row r="33" spans="1:4" outlineLevel="2" x14ac:dyDescent="0.3">
      <c r="A33" s="5">
        <v>45574</v>
      </c>
      <c r="B33" s="7" t="s">
        <v>23</v>
      </c>
      <c r="C33" s="7" t="s">
        <v>6</v>
      </c>
      <c r="D33" s="2">
        <v>0.31965192168237855</v>
      </c>
    </row>
    <row r="34" spans="1:4" outlineLevel="2" x14ac:dyDescent="0.3">
      <c r="A34" s="5">
        <v>45576</v>
      </c>
      <c r="B34" s="7" t="s">
        <v>24</v>
      </c>
      <c r="C34" s="7" t="s">
        <v>6</v>
      </c>
      <c r="D34" s="2">
        <v>0.23656250000000001</v>
      </c>
    </row>
    <row r="35" spans="1:4" outlineLevel="2" x14ac:dyDescent="0.3">
      <c r="A35" s="8">
        <v>45577</v>
      </c>
      <c r="B35" s="10" t="s">
        <v>22</v>
      </c>
      <c r="C35" s="10" t="s">
        <v>6</v>
      </c>
      <c r="D35" s="1">
        <v>9.7700431949264685E-2</v>
      </c>
    </row>
    <row r="36" spans="1:4" outlineLevel="2" x14ac:dyDescent="0.3">
      <c r="A36" s="8">
        <v>45583</v>
      </c>
      <c r="B36" s="10" t="s">
        <v>25</v>
      </c>
      <c r="C36" s="10" t="s">
        <v>6</v>
      </c>
      <c r="D36" s="1">
        <v>7.3707865168539333E-2</v>
      </c>
    </row>
    <row r="37" spans="1:4" outlineLevel="2" x14ac:dyDescent="0.3">
      <c r="A37" s="8">
        <v>45586</v>
      </c>
      <c r="B37" s="10" t="s">
        <v>25</v>
      </c>
      <c r="C37" s="10" t="s">
        <v>6</v>
      </c>
      <c r="D37" s="1">
        <v>8.0862831858407078E-2</v>
      </c>
    </row>
    <row r="38" spans="1:4" outlineLevel="2" x14ac:dyDescent="0.3">
      <c r="A38" s="8">
        <v>45586</v>
      </c>
      <c r="B38" s="10" t="s">
        <v>20</v>
      </c>
      <c r="C38" s="10" t="s">
        <v>6</v>
      </c>
      <c r="D38" s="1">
        <v>0.13106060606060607</v>
      </c>
    </row>
    <row r="39" spans="1:4" outlineLevel="2" x14ac:dyDescent="0.3">
      <c r="A39" s="8">
        <v>45587</v>
      </c>
      <c r="B39" s="10" t="s">
        <v>20</v>
      </c>
      <c r="C39" s="10" t="s">
        <v>6</v>
      </c>
      <c r="D39" s="1">
        <v>6.4884520656164318E-2</v>
      </c>
    </row>
    <row r="40" spans="1:4" outlineLevel="2" x14ac:dyDescent="0.3">
      <c r="A40" s="5">
        <v>45589</v>
      </c>
      <c r="B40" s="7" t="s">
        <v>24</v>
      </c>
      <c r="C40" s="7" t="s">
        <v>6</v>
      </c>
      <c r="D40" s="2">
        <v>5.8563792702765516E-2</v>
      </c>
    </row>
    <row r="41" spans="1:4" outlineLevel="2" x14ac:dyDescent="0.3">
      <c r="A41" s="8">
        <v>45592</v>
      </c>
      <c r="B41" s="10" t="s">
        <v>24</v>
      </c>
      <c r="C41" s="10" t="s">
        <v>6</v>
      </c>
      <c r="D41" s="1">
        <v>8.2835359571399134E-2</v>
      </c>
    </row>
    <row r="42" spans="1:4" outlineLevel="2" x14ac:dyDescent="0.3">
      <c r="A42" s="8">
        <v>45594</v>
      </c>
      <c r="B42" s="10" t="s">
        <v>21</v>
      </c>
      <c r="C42" s="10" t="s">
        <v>6</v>
      </c>
      <c r="D42" s="1">
        <v>9.422796795338674E-2</v>
      </c>
    </row>
    <row r="43" spans="1:4" outlineLevel="2" x14ac:dyDescent="0.3">
      <c r="A43" s="5">
        <v>45596</v>
      </c>
      <c r="B43" s="7" t="s">
        <v>23</v>
      </c>
      <c r="C43" s="7" t="s">
        <v>6</v>
      </c>
      <c r="D43" s="2">
        <v>0.17954159592529711</v>
      </c>
    </row>
    <row r="44" spans="1:4" outlineLevel="2" x14ac:dyDescent="0.3">
      <c r="A44" s="8">
        <v>45600</v>
      </c>
      <c r="B44" s="10" t="s">
        <v>24</v>
      </c>
      <c r="C44" s="10" t="s">
        <v>6</v>
      </c>
      <c r="D44" s="1">
        <v>0.11792317271769326</v>
      </c>
    </row>
    <row r="45" spans="1:4" outlineLevel="2" x14ac:dyDescent="0.3">
      <c r="A45" s="5">
        <v>45600</v>
      </c>
      <c r="B45" s="7" t="s">
        <v>24</v>
      </c>
      <c r="C45" s="7" t="s">
        <v>6</v>
      </c>
      <c r="D45" s="2">
        <v>8.0158206987475278E-2</v>
      </c>
    </row>
    <row r="46" spans="1:4" outlineLevel="2" x14ac:dyDescent="0.3">
      <c r="A46" s="8">
        <v>45601</v>
      </c>
      <c r="B46" s="10" t="s">
        <v>25</v>
      </c>
      <c r="C46" s="10" t="s">
        <v>6</v>
      </c>
      <c r="D46" s="1">
        <v>0.22157421618066214</v>
      </c>
    </row>
    <row r="47" spans="1:4" outlineLevel="2" x14ac:dyDescent="0.3">
      <c r="A47" s="8">
        <v>45602</v>
      </c>
      <c r="B47" s="10" t="s">
        <v>25</v>
      </c>
      <c r="C47" s="10" t="s">
        <v>6</v>
      </c>
      <c r="D47" s="1">
        <v>7.1956537279290869E-2</v>
      </c>
    </row>
    <row r="48" spans="1:4" outlineLevel="2" x14ac:dyDescent="0.3">
      <c r="A48" s="5">
        <v>45603</v>
      </c>
      <c r="B48" s="7" t="s">
        <v>24</v>
      </c>
      <c r="C48" s="7" t="s">
        <v>6</v>
      </c>
      <c r="D48" s="2">
        <v>0.16843866371633656</v>
      </c>
    </row>
    <row r="49" spans="1:4" outlineLevel="2" x14ac:dyDescent="0.3">
      <c r="A49" s="8">
        <v>45604</v>
      </c>
      <c r="B49" s="10" t="s">
        <v>21</v>
      </c>
      <c r="C49" s="10" t="s">
        <v>6</v>
      </c>
      <c r="D49" s="1">
        <v>6.8108806480899509E-2</v>
      </c>
    </row>
    <row r="50" spans="1:4" outlineLevel="2" x14ac:dyDescent="0.3">
      <c r="A50" s="5">
        <v>45613</v>
      </c>
      <c r="B50" s="7" t="s">
        <v>21</v>
      </c>
      <c r="C50" s="7" t="s">
        <v>6</v>
      </c>
      <c r="D50" s="2">
        <v>0.12353896103896105</v>
      </c>
    </row>
    <row r="51" spans="1:4" outlineLevel="2" x14ac:dyDescent="0.3">
      <c r="A51" s="8">
        <v>45621</v>
      </c>
      <c r="B51" s="10" t="s">
        <v>22</v>
      </c>
      <c r="C51" s="10" t="s">
        <v>6</v>
      </c>
      <c r="D51" s="1">
        <v>0.21745283018867925</v>
      </c>
    </row>
    <row r="52" spans="1:4" outlineLevel="2" x14ac:dyDescent="0.3">
      <c r="A52" s="8">
        <v>45624</v>
      </c>
      <c r="B52" s="10" t="s">
        <v>21</v>
      </c>
      <c r="C52" s="10" t="s">
        <v>6</v>
      </c>
      <c r="D52" s="1">
        <v>9.859917557465242E-2</v>
      </c>
    </row>
    <row r="53" spans="1:4" outlineLevel="2" x14ac:dyDescent="0.3">
      <c r="A53" s="8">
        <v>45624</v>
      </c>
      <c r="B53" s="10" t="s">
        <v>23</v>
      </c>
      <c r="C53" s="10" t="s">
        <v>6</v>
      </c>
      <c r="D53" s="1">
        <v>7.3018902217375503E-2</v>
      </c>
    </row>
    <row r="54" spans="1:4" outlineLevel="2" x14ac:dyDescent="0.3">
      <c r="A54" s="8">
        <v>45626</v>
      </c>
      <c r="B54" s="10" t="s">
        <v>23</v>
      </c>
      <c r="C54" s="10" t="s">
        <v>6</v>
      </c>
      <c r="D54" s="1">
        <v>8.5520696919660646E-2</v>
      </c>
    </row>
    <row r="55" spans="1:4" outlineLevel="2" x14ac:dyDescent="0.3">
      <c r="A55" s="8">
        <v>45637</v>
      </c>
      <c r="B55" s="10" t="s">
        <v>21</v>
      </c>
      <c r="C55" s="10" t="s">
        <v>6</v>
      </c>
      <c r="D55" s="1">
        <v>0.15405989502933004</v>
      </c>
    </row>
    <row r="56" spans="1:4" outlineLevel="2" x14ac:dyDescent="0.3">
      <c r="A56" s="8">
        <v>45643</v>
      </c>
      <c r="B56" s="10" t="s">
        <v>22</v>
      </c>
      <c r="C56" s="10" t="s">
        <v>6</v>
      </c>
      <c r="D56" s="1">
        <v>0.28696581196581195</v>
      </c>
    </row>
    <row r="57" spans="1:4" outlineLevel="2" x14ac:dyDescent="0.3">
      <c r="A57" s="5">
        <v>45644</v>
      </c>
      <c r="B57" s="7" t="s">
        <v>23</v>
      </c>
      <c r="C57" s="7" t="s">
        <v>6</v>
      </c>
      <c r="D57" s="2">
        <v>0.12936184657162253</v>
      </c>
    </row>
    <row r="58" spans="1:4" outlineLevel="2" x14ac:dyDescent="0.3">
      <c r="A58" s="5">
        <v>45658</v>
      </c>
      <c r="B58" s="7" t="s">
        <v>23</v>
      </c>
      <c r="C58" s="7" t="s">
        <v>6</v>
      </c>
      <c r="D58" s="2">
        <v>7.8849599245638849E-2</v>
      </c>
    </row>
    <row r="59" spans="1:4" outlineLevel="2" x14ac:dyDescent="0.3">
      <c r="A59" s="8">
        <v>45667</v>
      </c>
      <c r="B59" s="10" t="s">
        <v>24</v>
      </c>
      <c r="C59" s="10" t="s">
        <v>6</v>
      </c>
      <c r="D59" s="1">
        <v>0.16873144921925409</v>
      </c>
    </row>
    <row r="60" spans="1:4" outlineLevel="2" x14ac:dyDescent="0.3">
      <c r="A60" s="8">
        <v>45669</v>
      </c>
      <c r="B60" s="10" t="s">
        <v>20</v>
      </c>
      <c r="C60" s="10" t="s">
        <v>6</v>
      </c>
      <c r="D60" s="1">
        <v>0.12232704402515723</v>
      </c>
    </row>
    <row r="61" spans="1:4" outlineLevel="2" x14ac:dyDescent="0.3">
      <c r="A61" s="5">
        <v>45680</v>
      </c>
      <c r="B61" s="7" t="s">
        <v>25</v>
      </c>
      <c r="C61" s="7" t="s">
        <v>6</v>
      </c>
      <c r="D61" s="2">
        <v>7.2070332803659209E-2</v>
      </c>
    </row>
    <row r="62" spans="1:4" outlineLevel="2" x14ac:dyDescent="0.3">
      <c r="A62" s="8">
        <v>45685</v>
      </c>
      <c r="B62" s="10" t="s">
        <v>20</v>
      </c>
      <c r="C62" s="10" t="s">
        <v>6</v>
      </c>
      <c r="D62" s="1">
        <v>0.25701459034792368</v>
      </c>
    </row>
    <row r="63" spans="1:4" outlineLevel="2" x14ac:dyDescent="0.3">
      <c r="A63" s="5">
        <v>45704</v>
      </c>
      <c r="B63" s="7" t="s">
        <v>20</v>
      </c>
      <c r="C63" s="7" t="s">
        <v>6</v>
      </c>
      <c r="D63" s="2">
        <v>0.14320716458262928</v>
      </c>
    </row>
    <row r="64" spans="1:4" outlineLevel="2" x14ac:dyDescent="0.3">
      <c r="A64" s="8">
        <v>45707</v>
      </c>
      <c r="B64" s="10" t="s">
        <v>21</v>
      </c>
      <c r="C64" s="10" t="s">
        <v>6</v>
      </c>
      <c r="D64" s="1">
        <v>0.11508145034156594</v>
      </c>
    </row>
    <row r="65" spans="1:4" outlineLevel="2" x14ac:dyDescent="0.3">
      <c r="A65" s="8">
        <v>45712</v>
      </c>
      <c r="B65" s="10" t="s">
        <v>21</v>
      </c>
      <c r="C65" s="10" t="s">
        <v>6</v>
      </c>
      <c r="D65" s="1">
        <v>0.25062082139446035</v>
      </c>
    </row>
    <row r="66" spans="1:4" outlineLevel="2" x14ac:dyDescent="0.3">
      <c r="A66" s="5">
        <v>45715</v>
      </c>
      <c r="B66" s="7" t="s">
        <v>21</v>
      </c>
      <c r="C66" s="7" t="s">
        <v>6</v>
      </c>
      <c r="D66" s="2">
        <v>0.15355188488042157</v>
      </c>
    </row>
    <row r="67" spans="1:4" outlineLevel="2" x14ac:dyDescent="0.3">
      <c r="A67" s="5">
        <v>45720</v>
      </c>
      <c r="B67" s="7" t="s">
        <v>25</v>
      </c>
      <c r="C67" s="7" t="s">
        <v>6</v>
      </c>
      <c r="D67" s="2">
        <v>0.17057291666666666</v>
      </c>
    </row>
    <row r="68" spans="1:4" outlineLevel="2" x14ac:dyDescent="0.3">
      <c r="A68" s="5">
        <v>45720</v>
      </c>
      <c r="B68" s="7" t="s">
        <v>22</v>
      </c>
      <c r="C68" s="7" t="s">
        <v>6</v>
      </c>
      <c r="D68" s="2">
        <v>0.13493953401503478</v>
      </c>
    </row>
    <row r="69" spans="1:4" outlineLevel="2" x14ac:dyDescent="0.3">
      <c r="A69" s="8">
        <v>45722</v>
      </c>
      <c r="B69" s="10" t="s">
        <v>24</v>
      </c>
      <c r="C69" s="10" t="s">
        <v>6</v>
      </c>
      <c r="D69" s="1">
        <v>9.7001272669424113E-2</v>
      </c>
    </row>
    <row r="70" spans="1:4" outlineLevel="2" x14ac:dyDescent="0.3">
      <c r="A70" s="5">
        <v>45723</v>
      </c>
      <c r="B70" s="7" t="s">
        <v>24</v>
      </c>
      <c r="C70" s="7" t="s">
        <v>6</v>
      </c>
      <c r="D70" s="2">
        <v>0.13989473684210527</v>
      </c>
    </row>
    <row r="71" spans="1:4" outlineLevel="2" x14ac:dyDescent="0.3">
      <c r="A71" s="8">
        <v>45724</v>
      </c>
      <c r="B71" s="10" t="s">
        <v>24</v>
      </c>
      <c r="C71" s="10" t="s">
        <v>6</v>
      </c>
      <c r="D71" s="1">
        <v>7.2969143576826198E-2</v>
      </c>
    </row>
    <row r="72" spans="1:4" outlineLevel="2" x14ac:dyDescent="0.3">
      <c r="A72" s="5">
        <v>45729</v>
      </c>
      <c r="B72" s="7" t="s">
        <v>23</v>
      </c>
      <c r="C72" s="7" t="s">
        <v>6</v>
      </c>
      <c r="D72" s="2">
        <v>0.16510298716704411</v>
      </c>
    </row>
    <row r="73" spans="1:4" outlineLevel="2" x14ac:dyDescent="0.3">
      <c r="A73" s="8">
        <v>45737</v>
      </c>
      <c r="B73" s="10" t="s">
        <v>24</v>
      </c>
      <c r="C73" s="10" t="s">
        <v>6</v>
      </c>
      <c r="D73" s="1">
        <v>0.23673521198273673</v>
      </c>
    </row>
    <row r="74" spans="1:4" outlineLevel="2" x14ac:dyDescent="0.3">
      <c r="A74" s="8">
        <v>45738</v>
      </c>
      <c r="B74" s="10" t="s">
        <v>24</v>
      </c>
      <c r="C74" s="10" t="s">
        <v>6</v>
      </c>
      <c r="D74" s="1">
        <v>6.3118551273952411E-2</v>
      </c>
    </row>
    <row r="75" spans="1:4" outlineLevel="2" x14ac:dyDescent="0.3">
      <c r="A75" s="8">
        <v>45740</v>
      </c>
      <c r="B75" s="10" t="s">
        <v>24</v>
      </c>
      <c r="C75" s="10" t="s">
        <v>6</v>
      </c>
      <c r="D75" s="1">
        <v>7.984956452889945E-2</v>
      </c>
    </row>
    <row r="76" spans="1:4" outlineLevel="2" x14ac:dyDescent="0.3">
      <c r="A76" s="5">
        <v>45742</v>
      </c>
      <c r="B76" s="7" t="s">
        <v>21</v>
      </c>
      <c r="C76" s="7" t="s">
        <v>6</v>
      </c>
      <c r="D76" s="2">
        <v>7.055421038471886E-2</v>
      </c>
    </row>
    <row r="77" spans="1:4" outlineLevel="2" x14ac:dyDescent="0.3">
      <c r="A77" s="5">
        <v>45743</v>
      </c>
      <c r="B77" s="7" t="s">
        <v>21</v>
      </c>
      <c r="C77" s="7" t="s">
        <v>6</v>
      </c>
      <c r="D77" s="2">
        <v>0.14220299534507186</v>
      </c>
    </row>
    <row r="78" spans="1:4" outlineLevel="2" x14ac:dyDescent="0.3">
      <c r="A78" s="8">
        <v>45744</v>
      </c>
      <c r="B78" s="10" t="s">
        <v>22</v>
      </c>
      <c r="C78" s="10" t="s">
        <v>6</v>
      </c>
      <c r="D78" s="1">
        <v>0.11990720603160794</v>
      </c>
    </row>
    <row r="79" spans="1:4" outlineLevel="2" x14ac:dyDescent="0.3">
      <c r="A79" s="5">
        <v>45744</v>
      </c>
      <c r="B79" s="7" t="s">
        <v>23</v>
      </c>
      <c r="C79" s="7" t="s">
        <v>6</v>
      </c>
      <c r="D79" s="2">
        <v>9.9829463465827106E-2</v>
      </c>
    </row>
    <row r="80" spans="1:4" outlineLevel="2" x14ac:dyDescent="0.3">
      <c r="A80" s="5">
        <v>45748</v>
      </c>
      <c r="B80" s="7" t="s">
        <v>22</v>
      </c>
      <c r="C80" s="7" t="s">
        <v>6</v>
      </c>
      <c r="D80" s="2">
        <v>8.6630570595585168E-2</v>
      </c>
    </row>
    <row r="81" spans="1:4" outlineLevel="2" x14ac:dyDescent="0.3">
      <c r="A81" s="5">
        <v>45750</v>
      </c>
      <c r="B81" s="7" t="s">
        <v>21</v>
      </c>
      <c r="C81" s="7" t="s">
        <v>6</v>
      </c>
      <c r="D81" s="2">
        <v>7.6097681302417369E-2</v>
      </c>
    </row>
    <row r="82" spans="1:4" outlineLevel="2" x14ac:dyDescent="0.3">
      <c r="A82" s="5">
        <v>45752</v>
      </c>
      <c r="B82" s="7" t="s">
        <v>20</v>
      </c>
      <c r="C82" s="7" t="s">
        <v>6</v>
      </c>
      <c r="D82" s="2">
        <v>8.9730807577268201E-2</v>
      </c>
    </row>
    <row r="83" spans="1:4" outlineLevel="2" x14ac:dyDescent="0.3">
      <c r="A83" s="5">
        <v>45762</v>
      </c>
      <c r="B83" s="7" t="s">
        <v>25</v>
      </c>
      <c r="C83" s="7" t="s">
        <v>6</v>
      </c>
      <c r="D83" s="2">
        <v>0.19864505202032423</v>
      </c>
    </row>
    <row r="84" spans="1:4" outlineLevel="2" x14ac:dyDescent="0.3">
      <c r="A84" s="5">
        <v>45766</v>
      </c>
      <c r="B84" s="7" t="s">
        <v>22</v>
      </c>
      <c r="C84" s="7" t="s">
        <v>6</v>
      </c>
      <c r="D84" s="2">
        <v>7.6523535487678915E-2</v>
      </c>
    </row>
    <row r="85" spans="1:4" outlineLevel="1" x14ac:dyDescent="0.3">
      <c r="A85" s="5"/>
      <c r="B85" s="7"/>
      <c r="C85" s="36" t="s">
        <v>27</v>
      </c>
      <c r="D85" s="2">
        <f>SUBTOTAL(9,D2:D84)</f>
        <v>12.743153740117149</v>
      </c>
    </row>
    <row r="86" spans="1:4" outlineLevel="2" x14ac:dyDescent="0.3">
      <c r="A86" s="5">
        <v>45448</v>
      </c>
      <c r="B86" s="7" t="s">
        <v>20</v>
      </c>
      <c r="C86" s="7" t="s">
        <v>5</v>
      </c>
      <c r="D86" s="2">
        <v>0.21636759108210984</v>
      </c>
    </row>
    <row r="87" spans="1:4" outlineLevel="2" x14ac:dyDescent="0.3">
      <c r="A87" s="8">
        <v>45453</v>
      </c>
      <c r="B87" s="10" t="s">
        <v>22</v>
      </c>
      <c r="C87" s="10" t="s">
        <v>5</v>
      </c>
      <c r="D87" s="1">
        <v>0.10617801791554102</v>
      </c>
    </row>
    <row r="88" spans="1:4" outlineLevel="2" x14ac:dyDescent="0.3">
      <c r="A88" s="8">
        <v>45454</v>
      </c>
      <c r="B88" s="10" t="s">
        <v>24</v>
      </c>
      <c r="C88" s="10" t="s">
        <v>5</v>
      </c>
      <c r="D88" s="1">
        <v>9.9632815002833983E-2</v>
      </c>
    </row>
    <row r="89" spans="1:4" outlineLevel="2" x14ac:dyDescent="0.3">
      <c r="A89" s="5">
        <v>45454</v>
      </c>
      <c r="B89" s="7" t="s">
        <v>23</v>
      </c>
      <c r="C89" s="7" t="s">
        <v>5</v>
      </c>
      <c r="D89" s="2">
        <v>0.18806848582129482</v>
      </c>
    </row>
    <row r="90" spans="1:4" outlineLevel="2" x14ac:dyDescent="0.3">
      <c r="A90" s="8">
        <v>45465</v>
      </c>
      <c r="B90" s="10" t="s">
        <v>21</v>
      </c>
      <c r="C90" s="10" t="s">
        <v>5</v>
      </c>
      <c r="D90" s="1">
        <v>9.2726081258191345E-2</v>
      </c>
    </row>
    <row r="91" spans="1:4" outlineLevel="2" x14ac:dyDescent="0.3">
      <c r="A91" s="5">
        <v>45465</v>
      </c>
      <c r="B91" s="7" t="s">
        <v>20</v>
      </c>
      <c r="C91" s="7" t="s">
        <v>5</v>
      </c>
      <c r="D91" s="2">
        <v>7.3170731707317069E-2</v>
      </c>
    </row>
    <row r="92" spans="1:4" outlineLevel="2" x14ac:dyDescent="0.3">
      <c r="A92" s="5">
        <v>45467</v>
      </c>
      <c r="B92" s="7" t="s">
        <v>25</v>
      </c>
      <c r="C92" s="7" t="s">
        <v>5</v>
      </c>
      <c r="D92" s="2">
        <v>8.6537809426924378E-2</v>
      </c>
    </row>
    <row r="93" spans="1:4" outlineLevel="2" x14ac:dyDescent="0.3">
      <c r="A93" s="5">
        <v>45476</v>
      </c>
      <c r="B93" s="7" t="s">
        <v>22</v>
      </c>
      <c r="C93" s="7" t="s">
        <v>5</v>
      </c>
      <c r="D93" s="2">
        <v>0.13498547567175018</v>
      </c>
    </row>
    <row r="94" spans="1:4" outlineLevel="2" x14ac:dyDescent="0.3">
      <c r="A94" s="5">
        <v>45488</v>
      </c>
      <c r="B94" s="7" t="s">
        <v>24</v>
      </c>
      <c r="C94" s="7" t="s">
        <v>5</v>
      </c>
      <c r="D94" s="2">
        <v>0.15571802706241816</v>
      </c>
    </row>
    <row r="95" spans="1:4" outlineLevel="2" x14ac:dyDescent="0.3">
      <c r="A95" s="8">
        <v>45488</v>
      </c>
      <c r="B95" s="10" t="s">
        <v>23</v>
      </c>
      <c r="C95" s="10" t="s">
        <v>5</v>
      </c>
      <c r="D95" s="1">
        <v>7.5280481001673588E-2</v>
      </c>
    </row>
    <row r="96" spans="1:4" outlineLevel="2" x14ac:dyDescent="0.3">
      <c r="A96" s="5">
        <v>45488</v>
      </c>
      <c r="B96" s="7" t="s">
        <v>20</v>
      </c>
      <c r="C96" s="7" t="s">
        <v>5</v>
      </c>
      <c r="D96" s="2">
        <v>7.7512577512577507E-2</v>
      </c>
    </row>
    <row r="97" spans="1:4" outlineLevel="2" x14ac:dyDescent="0.3">
      <c r="A97" s="5">
        <v>45489</v>
      </c>
      <c r="B97" s="7" t="s">
        <v>21</v>
      </c>
      <c r="C97" s="7" t="s">
        <v>5</v>
      </c>
      <c r="D97" s="2">
        <v>7.2579365079365077E-2</v>
      </c>
    </row>
    <row r="98" spans="1:4" outlineLevel="2" x14ac:dyDescent="0.3">
      <c r="A98" s="8">
        <v>45491</v>
      </c>
      <c r="B98" s="10" t="s">
        <v>23</v>
      </c>
      <c r="C98" s="10" t="s">
        <v>5</v>
      </c>
      <c r="D98" s="1">
        <v>0.18632075471698112</v>
      </c>
    </row>
    <row r="99" spans="1:4" outlineLevel="2" x14ac:dyDescent="0.3">
      <c r="A99" s="8">
        <v>45491</v>
      </c>
      <c r="B99" s="10" t="s">
        <v>21</v>
      </c>
      <c r="C99" s="10" t="s">
        <v>5</v>
      </c>
      <c r="D99" s="1">
        <v>0.13517919809886983</v>
      </c>
    </row>
    <row r="100" spans="1:4" outlineLevel="2" x14ac:dyDescent="0.3">
      <c r="A100" s="5">
        <v>45502</v>
      </c>
      <c r="B100" s="7" t="s">
        <v>22</v>
      </c>
      <c r="C100" s="7" t="s">
        <v>5</v>
      </c>
      <c r="D100" s="2">
        <v>5.8316766070245198E-2</v>
      </c>
    </row>
    <row r="101" spans="1:4" outlineLevel="2" x14ac:dyDescent="0.3">
      <c r="A101" s="8">
        <v>45504</v>
      </c>
      <c r="B101" s="10" t="s">
        <v>23</v>
      </c>
      <c r="C101" s="10" t="s">
        <v>5</v>
      </c>
      <c r="D101" s="1">
        <v>5.2551586421122697E-2</v>
      </c>
    </row>
    <row r="102" spans="1:4" outlineLevel="2" x14ac:dyDescent="0.3">
      <c r="A102" s="8">
        <v>45504</v>
      </c>
      <c r="B102" s="10" t="s">
        <v>25</v>
      </c>
      <c r="C102" s="10" t="s">
        <v>5</v>
      </c>
      <c r="D102" s="1">
        <v>0.20871010638297871</v>
      </c>
    </row>
    <row r="103" spans="1:4" outlineLevel="2" x14ac:dyDescent="0.3">
      <c r="A103" s="5">
        <v>45504</v>
      </c>
      <c r="B103" s="7" t="s">
        <v>24</v>
      </c>
      <c r="C103" s="7" t="s">
        <v>5</v>
      </c>
      <c r="D103" s="2">
        <v>0.10132030477519921</v>
      </c>
    </row>
    <row r="104" spans="1:4" outlineLevel="2" x14ac:dyDescent="0.3">
      <c r="A104" s="8">
        <v>45507</v>
      </c>
      <c r="B104" s="10" t="s">
        <v>20</v>
      </c>
      <c r="C104" s="10" t="s">
        <v>5</v>
      </c>
      <c r="D104" s="1">
        <v>8.6897539284772202E-2</v>
      </c>
    </row>
    <row r="105" spans="1:4" outlineLevel="2" x14ac:dyDescent="0.3">
      <c r="A105" s="8">
        <v>45512</v>
      </c>
      <c r="B105" s="10" t="s">
        <v>22</v>
      </c>
      <c r="C105" s="10" t="s">
        <v>5</v>
      </c>
      <c r="D105" s="1">
        <v>0.16744313510550835</v>
      </c>
    </row>
    <row r="106" spans="1:4" outlineLevel="2" x14ac:dyDescent="0.3">
      <c r="A106" s="5">
        <v>45516</v>
      </c>
      <c r="B106" s="7" t="s">
        <v>22</v>
      </c>
      <c r="C106" s="7" t="s">
        <v>5</v>
      </c>
      <c r="D106" s="2">
        <v>0.15105033277870217</v>
      </c>
    </row>
    <row r="107" spans="1:4" outlineLevel="2" x14ac:dyDescent="0.3">
      <c r="A107" s="8">
        <v>45516</v>
      </c>
      <c r="B107" s="10" t="s">
        <v>23</v>
      </c>
      <c r="C107" s="10" t="s">
        <v>5</v>
      </c>
      <c r="D107" s="1">
        <v>5.6416400425985093E-2</v>
      </c>
    </row>
    <row r="108" spans="1:4" outlineLevel="2" x14ac:dyDescent="0.3">
      <c r="A108" s="5">
        <v>45523</v>
      </c>
      <c r="B108" s="7" t="s">
        <v>21</v>
      </c>
      <c r="C108" s="7" t="s">
        <v>5</v>
      </c>
      <c r="D108" s="2">
        <v>0.12943516308671441</v>
      </c>
    </row>
    <row r="109" spans="1:4" outlineLevel="2" x14ac:dyDescent="0.3">
      <c r="A109" s="8">
        <v>45524</v>
      </c>
      <c r="B109" s="10" t="s">
        <v>20</v>
      </c>
      <c r="C109" s="10" t="s">
        <v>5</v>
      </c>
      <c r="D109" s="1">
        <v>0.26876680752977333</v>
      </c>
    </row>
    <row r="110" spans="1:4" outlineLevel="2" x14ac:dyDescent="0.3">
      <c r="A110" s="5">
        <v>45528</v>
      </c>
      <c r="B110" s="7" t="s">
        <v>23</v>
      </c>
      <c r="C110" s="7" t="s">
        <v>5</v>
      </c>
      <c r="D110" s="2">
        <v>8.4862714173059003E-2</v>
      </c>
    </row>
    <row r="111" spans="1:4" outlineLevel="2" x14ac:dyDescent="0.3">
      <c r="A111" s="5">
        <v>45535</v>
      </c>
      <c r="B111" s="7" t="s">
        <v>23</v>
      </c>
      <c r="C111" s="7" t="s">
        <v>5</v>
      </c>
      <c r="D111" s="2">
        <v>8.3539958039290485E-2</v>
      </c>
    </row>
    <row r="112" spans="1:4" outlineLevel="2" x14ac:dyDescent="0.3">
      <c r="A112" s="8">
        <v>45540</v>
      </c>
      <c r="B112" s="10" t="s">
        <v>25</v>
      </c>
      <c r="C112" s="10" t="s">
        <v>5</v>
      </c>
      <c r="D112" s="1">
        <v>0.14276618001546368</v>
      </c>
    </row>
    <row r="113" spans="1:4" outlineLevel="2" x14ac:dyDescent="0.3">
      <c r="A113" s="8">
        <v>45546</v>
      </c>
      <c r="B113" s="10" t="s">
        <v>24</v>
      </c>
      <c r="C113" s="10" t="s">
        <v>5</v>
      </c>
      <c r="D113" s="1">
        <v>9.9255211647142488E-2</v>
      </c>
    </row>
    <row r="114" spans="1:4" outlineLevel="2" x14ac:dyDescent="0.3">
      <c r="A114" s="5">
        <v>45568</v>
      </c>
      <c r="B114" s="7" t="s">
        <v>25</v>
      </c>
      <c r="C114" s="7" t="s">
        <v>5</v>
      </c>
      <c r="D114" s="2">
        <v>0.1071650124069479</v>
      </c>
    </row>
    <row r="115" spans="1:4" outlineLevel="2" x14ac:dyDescent="0.3">
      <c r="A115" s="5">
        <v>45569</v>
      </c>
      <c r="B115" s="7" t="s">
        <v>21</v>
      </c>
      <c r="C115" s="7" t="s">
        <v>5</v>
      </c>
      <c r="D115" s="2">
        <v>5.5909322465613857E-2</v>
      </c>
    </row>
    <row r="116" spans="1:4" outlineLevel="2" x14ac:dyDescent="0.3">
      <c r="A116" s="5">
        <v>45573</v>
      </c>
      <c r="B116" s="7" t="s">
        <v>20</v>
      </c>
      <c r="C116" s="7" t="s">
        <v>5</v>
      </c>
      <c r="D116" s="2">
        <v>0.11143487163332809</v>
      </c>
    </row>
    <row r="117" spans="1:4" outlineLevel="2" x14ac:dyDescent="0.3">
      <c r="A117" s="8">
        <v>45583</v>
      </c>
      <c r="B117" s="10" t="s">
        <v>22</v>
      </c>
      <c r="C117" s="10" t="s">
        <v>5</v>
      </c>
      <c r="D117" s="1">
        <v>6.4265122330790625E-2</v>
      </c>
    </row>
    <row r="118" spans="1:4" outlineLevel="2" x14ac:dyDescent="0.3">
      <c r="A118" s="8">
        <v>45589</v>
      </c>
      <c r="B118" s="10" t="s">
        <v>25</v>
      </c>
      <c r="C118" s="10" t="s">
        <v>5</v>
      </c>
      <c r="D118" s="1">
        <v>5.941358024691358E-2</v>
      </c>
    </row>
    <row r="119" spans="1:4" outlineLevel="2" x14ac:dyDescent="0.3">
      <c r="A119" s="5">
        <v>45590</v>
      </c>
      <c r="B119" s="7" t="s">
        <v>25</v>
      </c>
      <c r="C119" s="7" t="s">
        <v>5</v>
      </c>
      <c r="D119" s="2">
        <v>0.25869984981763572</v>
      </c>
    </row>
    <row r="120" spans="1:4" outlineLevel="2" x14ac:dyDescent="0.3">
      <c r="A120" s="5">
        <v>45593</v>
      </c>
      <c r="B120" s="7" t="s">
        <v>22</v>
      </c>
      <c r="C120" s="7" t="s">
        <v>5</v>
      </c>
      <c r="D120" s="2">
        <v>6.5455787978772245E-2</v>
      </c>
    </row>
    <row r="121" spans="1:4" outlineLevel="2" x14ac:dyDescent="0.3">
      <c r="A121" s="8">
        <v>45608</v>
      </c>
      <c r="B121" s="10" t="s">
        <v>24</v>
      </c>
      <c r="C121" s="10" t="s">
        <v>5</v>
      </c>
      <c r="D121" s="1">
        <v>6.2129685107516146E-2</v>
      </c>
    </row>
    <row r="122" spans="1:4" outlineLevel="2" x14ac:dyDescent="0.3">
      <c r="A122" s="5">
        <v>45622</v>
      </c>
      <c r="B122" s="7" t="s">
        <v>21</v>
      </c>
      <c r="C122" s="7" t="s">
        <v>5</v>
      </c>
      <c r="D122" s="2">
        <v>0.11114018842096787</v>
      </c>
    </row>
    <row r="123" spans="1:4" outlineLevel="2" x14ac:dyDescent="0.3">
      <c r="A123" s="5">
        <v>45625</v>
      </c>
      <c r="B123" s="7" t="s">
        <v>25</v>
      </c>
      <c r="C123" s="7" t="s">
        <v>5</v>
      </c>
      <c r="D123" s="2">
        <v>0.1441326530612245</v>
      </c>
    </row>
    <row r="124" spans="1:4" outlineLevel="2" x14ac:dyDescent="0.3">
      <c r="A124" s="5">
        <v>45634</v>
      </c>
      <c r="B124" s="7" t="s">
        <v>22</v>
      </c>
      <c r="C124" s="7" t="s">
        <v>5</v>
      </c>
      <c r="D124" s="2">
        <v>0.19310344827586207</v>
      </c>
    </row>
    <row r="125" spans="1:4" outlineLevel="2" x14ac:dyDescent="0.3">
      <c r="A125" s="5">
        <v>45635</v>
      </c>
      <c r="B125" s="7" t="s">
        <v>24</v>
      </c>
      <c r="C125" s="7" t="s">
        <v>5</v>
      </c>
      <c r="D125" s="2">
        <v>8.6737756939878216E-2</v>
      </c>
    </row>
    <row r="126" spans="1:4" outlineLevel="2" x14ac:dyDescent="0.3">
      <c r="A126" s="8">
        <v>45637</v>
      </c>
      <c r="B126" s="10" t="s">
        <v>25</v>
      </c>
      <c r="C126" s="10" t="s">
        <v>5</v>
      </c>
      <c r="D126" s="1">
        <v>0.28045655718611695</v>
      </c>
    </row>
    <row r="127" spans="1:4" outlineLevel="2" x14ac:dyDescent="0.3">
      <c r="A127" s="8">
        <v>45648</v>
      </c>
      <c r="B127" s="10" t="s">
        <v>20</v>
      </c>
      <c r="C127" s="10" t="s">
        <v>5</v>
      </c>
      <c r="D127" s="1">
        <v>8.3726921425504502E-2</v>
      </c>
    </row>
    <row r="128" spans="1:4" outlineLevel="2" x14ac:dyDescent="0.3">
      <c r="A128" s="8">
        <v>45649</v>
      </c>
      <c r="B128" s="10" t="s">
        <v>20</v>
      </c>
      <c r="C128" s="10" t="s">
        <v>5</v>
      </c>
      <c r="D128" s="1">
        <v>9.0759753593429152E-2</v>
      </c>
    </row>
    <row r="129" spans="1:4" outlineLevel="2" x14ac:dyDescent="0.3">
      <c r="A129" s="5">
        <v>45649</v>
      </c>
      <c r="B129" s="7" t="s">
        <v>24</v>
      </c>
      <c r="C129" s="7" t="s">
        <v>5</v>
      </c>
      <c r="D129" s="2">
        <v>0.37955854126679461</v>
      </c>
    </row>
    <row r="130" spans="1:4" outlineLevel="2" x14ac:dyDescent="0.3">
      <c r="A130" s="8">
        <v>45650</v>
      </c>
      <c r="B130" s="10" t="s">
        <v>21</v>
      </c>
      <c r="C130" s="10" t="s">
        <v>5</v>
      </c>
      <c r="D130" s="1">
        <v>0.24349030470914126</v>
      </c>
    </row>
    <row r="131" spans="1:4" outlineLevel="2" x14ac:dyDescent="0.3">
      <c r="A131" s="8">
        <v>45674</v>
      </c>
      <c r="B131" s="10" t="s">
        <v>20</v>
      </c>
      <c r="C131" s="10" t="s">
        <v>5</v>
      </c>
      <c r="D131" s="1">
        <v>0.6508215962441315</v>
      </c>
    </row>
    <row r="132" spans="1:4" outlineLevel="2" x14ac:dyDescent="0.3">
      <c r="A132" s="8">
        <v>45684</v>
      </c>
      <c r="B132" s="10" t="s">
        <v>20</v>
      </c>
      <c r="C132" s="10" t="s">
        <v>5</v>
      </c>
      <c r="D132" s="1">
        <v>6.9311459413307311E-2</v>
      </c>
    </row>
    <row r="133" spans="1:4" outlineLevel="2" x14ac:dyDescent="0.3">
      <c r="A133" s="5">
        <v>45685</v>
      </c>
      <c r="B133" s="7" t="s">
        <v>25</v>
      </c>
      <c r="C133" s="7" t="s">
        <v>5</v>
      </c>
      <c r="D133" s="2">
        <v>0.1650782845473111</v>
      </c>
    </row>
    <row r="134" spans="1:4" outlineLevel="2" x14ac:dyDescent="0.3">
      <c r="A134" s="8">
        <v>45690</v>
      </c>
      <c r="B134" s="10" t="s">
        <v>22</v>
      </c>
      <c r="C134" s="10" t="s">
        <v>5</v>
      </c>
      <c r="D134" s="1">
        <v>0.11571269132653061</v>
      </c>
    </row>
    <row r="135" spans="1:4" outlineLevel="2" x14ac:dyDescent="0.3">
      <c r="A135" s="5">
        <v>45692</v>
      </c>
      <c r="B135" s="7" t="s">
        <v>24</v>
      </c>
      <c r="C135" s="7" t="s">
        <v>5</v>
      </c>
      <c r="D135" s="2">
        <v>8.5718409468138843E-2</v>
      </c>
    </row>
    <row r="136" spans="1:4" outlineLevel="2" x14ac:dyDescent="0.3">
      <c r="A136" s="5">
        <v>45698</v>
      </c>
      <c r="B136" s="7" t="s">
        <v>25</v>
      </c>
      <c r="C136" s="7" t="s">
        <v>5</v>
      </c>
      <c r="D136" s="2">
        <v>9.2298980747451867E-2</v>
      </c>
    </row>
    <row r="137" spans="1:4" outlineLevel="2" x14ac:dyDescent="0.3">
      <c r="A137" s="5">
        <v>45699</v>
      </c>
      <c r="B137" s="7" t="s">
        <v>25</v>
      </c>
      <c r="C137" s="7" t="s">
        <v>5</v>
      </c>
      <c r="D137" s="2">
        <v>5.9387824897400819E-2</v>
      </c>
    </row>
    <row r="138" spans="1:4" outlineLevel="2" x14ac:dyDescent="0.3">
      <c r="A138" s="5">
        <v>45707</v>
      </c>
      <c r="B138" s="7" t="s">
        <v>24</v>
      </c>
      <c r="C138" s="7" t="s">
        <v>5</v>
      </c>
      <c r="D138" s="2">
        <v>0.48518407662376534</v>
      </c>
    </row>
    <row r="139" spans="1:4" outlineLevel="2" x14ac:dyDescent="0.3">
      <c r="A139" s="8">
        <v>45708</v>
      </c>
      <c r="B139" s="10" t="s">
        <v>23</v>
      </c>
      <c r="C139" s="10" t="s">
        <v>5</v>
      </c>
      <c r="D139" s="1">
        <v>0.25279701651571657</v>
      </c>
    </row>
    <row r="140" spans="1:4" outlineLevel="2" x14ac:dyDescent="0.3">
      <c r="A140" s="8">
        <v>45712</v>
      </c>
      <c r="B140" s="10" t="s">
        <v>23</v>
      </c>
      <c r="C140" s="10" t="s">
        <v>5</v>
      </c>
      <c r="D140" s="1">
        <v>0.16683616863905326</v>
      </c>
    </row>
    <row r="141" spans="1:4" outlineLevel="2" x14ac:dyDescent="0.3">
      <c r="A141" s="5">
        <v>45718</v>
      </c>
      <c r="B141" s="7" t="s">
        <v>24</v>
      </c>
      <c r="C141" s="7" t="s">
        <v>5</v>
      </c>
      <c r="D141" s="2">
        <v>9.8558100084817649E-2</v>
      </c>
    </row>
    <row r="142" spans="1:4" outlineLevel="2" x14ac:dyDescent="0.3">
      <c r="A142" s="5">
        <v>45734</v>
      </c>
      <c r="B142" s="7" t="s">
        <v>20</v>
      </c>
      <c r="C142" s="7" t="s">
        <v>5</v>
      </c>
      <c r="D142" s="2">
        <v>0.16769515581610614</v>
      </c>
    </row>
    <row r="143" spans="1:4" outlineLevel="2" x14ac:dyDescent="0.3">
      <c r="A143" s="8">
        <v>45735</v>
      </c>
      <c r="B143" s="10" t="s">
        <v>25</v>
      </c>
      <c r="C143" s="10" t="s">
        <v>5</v>
      </c>
      <c r="D143" s="1">
        <v>8.2753164556962022E-2</v>
      </c>
    </row>
    <row r="144" spans="1:4" outlineLevel="2" x14ac:dyDescent="0.3">
      <c r="A144" s="8">
        <v>45740</v>
      </c>
      <c r="B144" s="10" t="s">
        <v>20</v>
      </c>
      <c r="C144" s="10" t="s">
        <v>5</v>
      </c>
      <c r="D144" s="1">
        <v>7.2503306878306875E-2</v>
      </c>
    </row>
    <row r="145" spans="1:4" outlineLevel="2" x14ac:dyDescent="0.3">
      <c r="A145" s="5">
        <v>45741</v>
      </c>
      <c r="B145" s="7" t="s">
        <v>25</v>
      </c>
      <c r="C145" s="7" t="s">
        <v>5</v>
      </c>
      <c r="D145" s="2">
        <v>0.10005698005698006</v>
      </c>
    </row>
    <row r="146" spans="1:4" outlineLevel="2" x14ac:dyDescent="0.3">
      <c r="A146" s="8">
        <v>45745</v>
      </c>
      <c r="B146" s="10" t="s">
        <v>23</v>
      </c>
      <c r="C146" s="10" t="s">
        <v>5</v>
      </c>
      <c r="D146" s="1">
        <v>6.3749764195434822E-2</v>
      </c>
    </row>
    <row r="147" spans="1:4" outlineLevel="2" x14ac:dyDescent="0.3">
      <c r="A147" s="5">
        <v>45749</v>
      </c>
      <c r="B147" s="7" t="s">
        <v>25</v>
      </c>
      <c r="C147" s="7" t="s">
        <v>5</v>
      </c>
      <c r="D147" s="2">
        <v>0.38274706867671693</v>
      </c>
    </row>
    <row r="148" spans="1:4" outlineLevel="2" x14ac:dyDescent="0.3">
      <c r="A148" s="8">
        <v>45750</v>
      </c>
      <c r="B148" s="10" t="s">
        <v>22</v>
      </c>
      <c r="C148" s="10" t="s">
        <v>5</v>
      </c>
      <c r="D148" s="1">
        <v>0.11996283514733209</v>
      </c>
    </row>
    <row r="149" spans="1:4" outlineLevel="2" x14ac:dyDescent="0.3">
      <c r="A149" s="5">
        <v>45754</v>
      </c>
      <c r="B149" s="7" t="s">
        <v>20</v>
      </c>
      <c r="C149" s="7" t="s">
        <v>5</v>
      </c>
      <c r="D149" s="2">
        <v>6.246991874522239E-2</v>
      </c>
    </row>
    <row r="150" spans="1:4" outlineLevel="2" x14ac:dyDescent="0.3">
      <c r="A150" s="8">
        <v>45757</v>
      </c>
      <c r="B150" s="10" t="s">
        <v>23</v>
      </c>
      <c r="C150" s="10" t="s">
        <v>5</v>
      </c>
      <c r="D150" s="1">
        <v>5.9496567505720827E-2</v>
      </c>
    </row>
    <row r="151" spans="1:4" outlineLevel="2" x14ac:dyDescent="0.3">
      <c r="A151" s="5">
        <v>45760</v>
      </c>
      <c r="B151" s="7" t="s">
        <v>20</v>
      </c>
      <c r="C151" s="7" t="s">
        <v>5</v>
      </c>
      <c r="D151" s="2">
        <v>8.4062694239588759E-2</v>
      </c>
    </row>
    <row r="152" spans="1:4" outlineLevel="2" x14ac:dyDescent="0.3">
      <c r="A152" s="8">
        <v>45766</v>
      </c>
      <c r="B152" s="10" t="s">
        <v>24</v>
      </c>
      <c r="C152" s="10" t="s">
        <v>5</v>
      </c>
      <c r="D152" s="1">
        <v>0.19156491900087783</v>
      </c>
    </row>
    <row r="153" spans="1:4" outlineLevel="2" x14ac:dyDescent="0.3">
      <c r="A153" s="8">
        <v>45771</v>
      </c>
      <c r="B153" s="10" t="s">
        <v>25</v>
      </c>
      <c r="C153" s="10" t="s">
        <v>5</v>
      </c>
      <c r="D153" s="1">
        <v>0.1043848167539267</v>
      </c>
    </row>
    <row r="154" spans="1:4" outlineLevel="2" x14ac:dyDescent="0.3">
      <c r="A154" s="5">
        <v>45775</v>
      </c>
      <c r="B154" s="7" t="s">
        <v>23</v>
      </c>
      <c r="C154" s="7" t="s">
        <v>5</v>
      </c>
      <c r="D154" s="2">
        <v>0.15761129727142173</v>
      </c>
    </row>
    <row r="155" spans="1:4" outlineLevel="2" x14ac:dyDescent="0.3">
      <c r="A155" s="8">
        <v>45783</v>
      </c>
      <c r="B155" s="10" t="s">
        <v>24</v>
      </c>
      <c r="C155" s="10" t="s">
        <v>5</v>
      </c>
      <c r="D155" s="1">
        <v>7.2116777745580993E-2</v>
      </c>
    </row>
    <row r="156" spans="1:4" outlineLevel="2" x14ac:dyDescent="0.3">
      <c r="A156" s="8">
        <v>45788</v>
      </c>
      <c r="B156" s="10" t="s">
        <v>24</v>
      </c>
      <c r="C156" s="10" t="s">
        <v>5</v>
      </c>
      <c r="D156" s="1">
        <v>6.2150491965739366E-2</v>
      </c>
    </row>
    <row r="157" spans="1:4" outlineLevel="2" x14ac:dyDescent="0.3">
      <c r="A157" s="8">
        <v>45789</v>
      </c>
      <c r="B157" s="10" t="s">
        <v>20</v>
      </c>
      <c r="C157" s="10" t="s">
        <v>5</v>
      </c>
      <c r="D157" s="1">
        <v>5.5531494209584788E-2</v>
      </c>
    </row>
    <row r="158" spans="1:4" outlineLevel="1" x14ac:dyDescent="0.3">
      <c r="A158" s="8"/>
      <c r="B158" s="10"/>
      <c r="C158" s="37" t="s">
        <v>28</v>
      </c>
      <c r="D158" s="1">
        <f>SUBTOTAL(9,D86:D157)</f>
        <v>9.869730835233371</v>
      </c>
    </row>
    <row r="159" spans="1:4" outlineLevel="2" x14ac:dyDescent="0.3">
      <c r="A159" s="5">
        <v>45453</v>
      </c>
      <c r="B159" s="7" t="s">
        <v>22</v>
      </c>
      <c r="C159" s="7" t="s">
        <v>7</v>
      </c>
      <c r="D159" s="2">
        <v>0.11238095238095239</v>
      </c>
    </row>
    <row r="160" spans="1:4" outlineLevel="2" x14ac:dyDescent="0.3">
      <c r="A160" s="8">
        <v>45456</v>
      </c>
      <c r="B160" s="10" t="s">
        <v>23</v>
      </c>
      <c r="C160" s="10" t="s">
        <v>7</v>
      </c>
      <c r="D160" s="1">
        <v>7.8689839572192513E-2</v>
      </c>
    </row>
    <row r="161" spans="1:4" outlineLevel="2" x14ac:dyDescent="0.3">
      <c r="A161" s="8">
        <v>45459</v>
      </c>
      <c r="B161" s="10" t="s">
        <v>25</v>
      </c>
      <c r="C161" s="10" t="s">
        <v>7</v>
      </c>
      <c r="D161" s="1">
        <v>7.7291421856639245E-2</v>
      </c>
    </row>
    <row r="162" spans="1:4" outlineLevel="2" x14ac:dyDescent="0.3">
      <c r="A162" s="5">
        <v>45460</v>
      </c>
      <c r="B162" s="7" t="s">
        <v>24</v>
      </c>
      <c r="C162" s="7" t="s">
        <v>7</v>
      </c>
      <c r="D162" s="2">
        <v>8.2075471698113203E-2</v>
      </c>
    </row>
    <row r="163" spans="1:4" outlineLevel="2" x14ac:dyDescent="0.3">
      <c r="A163" s="8">
        <v>45463</v>
      </c>
      <c r="B163" s="10" t="s">
        <v>23</v>
      </c>
      <c r="C163" s="10" t="s">
        <v>7</v>
      </c>
      <c r="D163" s="1">
        <v>5.6653298485940883E-2</v>
      </c>
    </row>
    <row r="164" spans="1:4" outlineLevel="2" x14ac:dyDescent="0.3">
      <c r="A164" s="8">
        <v>45464</v>
      </c>
      <c r="B164" s="10" t="s">
        <v>24</v>
      </c>
      <c r="C164" s="10" t="s">
        <v>7</v>
      </c>
      <c r="D164" s="1">
        <v>6.2467323109097243E-2</v>
      </c>
    </row>
    <row r="165" spans="1:4" outlineLevel="2" x14ac:dyDescent="0.3">
      <c r="A165" s="8">
        <v>45466</v>
      </c>
      <c r="B165" s="10" t="s">
        <v>25</v>
      </c>
      <c r="C165" s="10" t="s">
        <v>7</v>
      </c>
      <c r="D165" s="1">
        <v>0.10034235916588857</v>
      </c>
    </row>
    <row r="166" spans="1:4" outlineLevel="2" x14ac:dyDescent="0.3">
      <c r="A166" s="8">
        <v>45467</v>
      </c>
      <c r="B166" s="10" t="s">
        <v>23</v>
      </c>
      <c r="C166" s="10" t="s">
        <v>7</v>
      </c>
      <c r="D166" s="1">
        <v>7.0272020725388601E-2</v>
      </c>
    </row>
    <row r="167" spans="1:4" outlineLevel="2" x14ac:dyDescent="0.3">
      <c r="A167" s="8">
        <v>45469</v>
      </c>
      <c r="B167" s="10" t="s">
        <v>20</v>
      </c>
      <c r="C167" s="10" t="s">
        <v>7</v>
      </c>
      <c r="D167" s="1">
        <v>6.5617093055946027E-2</v>
      </c>
    </row>
    <row r="168" spans="1:4" outlineLevel="2" x14ac:dyDescent="0.3">
      <c r="A168" s="8">
        <v>45475</v>
      </c>
      <c r="B168" s="10" t="s">
        <v>23</v>
      </c>
      <c r="C168" s="10" t="s">
        <v>7</v>
      </c>
      <c r="D168" s="1">
        <v>7.2000119875329657E-2</v>
      </c>
    </row>
    <row r="169" spans="1:4" outlineLevel="2" x14ac:dyDescent="0.3">
      <c r="A169" s="5">
        <v>45486</v>
      </c>
      <c r="B169" s="7" t="s">
        <v>24</v>
      </c>
      <c r="C169" s="7" t="s">
        <v>7</v>
      </c>
      <c r="D169" s="2">
        <v>0.10340359564080613</v>
      </c>
    </row>
    <row r="170" spans="1:4" outlineLevel="2" x14ac:dyDescent="0.3">
      <c r="A170" s="5">
        <v>45494</v>
      </c>
      <c r="B170" s="7" t="s">
        <v>20</v>
      </c>
      <c r="C170" s="7" t="s">
        <v>7</v>
      </c>
      <c r="D170" s="2">
        <v>0.12885405960945528</v>
      </c>
    </row>
    <row r="171" spans="1:4" outlineLevel="2" x14ac:dyDescent="0.3">
      <c r="A171" s="5">
        <v>45497</v>
      </c>
      <c r="B171" s="7" t="s">
        <v>24</v>
      </c>
      <c r="C171" s="7" t="s">
        <v>7</v>
      </c>
      <c r="D171" s="2">
        <v>8.558620689655172E-2</v>
      </c>
    </row>
    <row r="172" spans="1:4" outlineLevel="2" x14ac:dyDescent="0.3">
      <c r="A172" s="5">
        <v>45499</v>
      </c>
      <c r="B172" s="7" t="s">
        <v>23</v>
      </c>
      <c r="C172" s="7" t="s">
        <v>7</v>
      </c>
      <c r="D172" s="2">
        <v>0.29199735449735448</v>
      </c>
    </row>
    <row r="173" spans="1:4" outlineLevel="2" x14ac:dyDescent="0.3">
      <c r="A173" s="8">
        <v>45499</v>
      </c>
      <c r="B173" s="10" t="s">
        <v>24</v>
      </c>
      <c r="C173" s="10" t="s">
        <v>7</v>
      </c>
      <c r="D173" s="1">
        <v>0.10977802753582468</v>
      </c>
    </row>
    <row r="174" spans="1:4" outlineLevel="2" x14ac:dyDescent="0.3">
      <c r="A174" s="5">
        <v>45501</v>
      </c>
      <c r="B174" s="7" t="s">
        <v>24</v>
      </c>
      <c r="C174" s="7" t="s">
        <v>7</v>
      </c>
      <c r="D174" s="2">
        <v>0.13614307931570763</v>
      </c>
    </row>
    <row r="175" spans="1:4" outlineLevel="2" x14ac:dyDescent="0.3">
      <c r="A175" s="8">
        <v>45505</v>
      </c>
      <c r="B175" s="10" t="s">
        <v>20</v>
      </c>
      <c r="C175" s="10" t="s">
        <v>7</v>
      </c>
      <c r="D175" s="1">
        <v>0.12131237937689551</v>
      </c>
    </row>
    <row r="176" spans="1:4" outlineLevel="2" x14ac:dyDescent="0.3">
      <c r="A176" s="8">
        <v>45519</v>
      </c>
      <c r="B176" s="10" t="s">
        <v>23</v>
      </c>
      <c r="C176" s="10" t="s">
        <v>7</v>
      </c>
      <c r="D176" s="1">
        <v>0.13667732704931829</v>
      </c>
    </row>
    <row r="177" spans="1:4" outlineLevel="2" x14ac:dyDescent="0.3">
      <c r="A177" s="8">
        <v>45519</v>
      </c>
      <c r="B177" s="10" t="s">
        <v>20</v>
      </c>
      <c r="C177" s="10" t="s">
        <v>7</v>
      </c>
      <c r="D177" s="1">
        <v>0.30126002290950743</v>
      </c>
    </row>
    <row r="178" spans="1:4" outlineLevel="2" x14ac:dyDescent="0.3">
      <c r="A178" s="8">
        <v>45525</v>
      </c>
      <c r="B178" s="10" t="s">
        <v>24</v>
      </c>
      <c r="C178" s="10" t="s">
        <v>7</v>
      </c>
      <c r="D178" s="1">
        <v>0.12781331438047855</v>
      </c>
    </row>
    <row r="179" spans="1:4" outlineLevel="2" x14ac:dyDescent="0.3">
      <c r="A179" s="5">
        <v>45530</v>
      </c>
      <c r="B179" s="7" t="s">
        <v>21</v>
      </c>
      <c r="C179" s="7" t="s">
        <v>7</v>
      </c>
      <c r="D179" s="2">
        <v>7.5843713789107758E-2</v>
      </c>
    </row>
    <row r="180" spans="1:4" outlineLevel="2" x14ac:dyDescent="0.3">
      <c r="A180" s="5">
        <v>45530</v>
      </c>
      <c r="B180" s="7" t="s">
        <v>23</v>
      </c>
      <c r="C180" s="7" t="s">
        <v>7</v>
      </c>
      <c r="D180" s="2">
        <v>8.6293505561535699E-2</v>
      </c>
    </row>
    <row r="181" spans="1:4" outlineLevel="2" x14ac:dyDescent="0.3">
      <c r="A181" s="8">
        <v>45534</v>
      </c>
      <c r="B181" s="10" t="s">
        <v>21</v>
      </c>
      <c r="C181" s="10" t="s">
        <v>7</v>
      </c>
      <c r="D181" s="1">
        <v>8.8019732205778717E-2</v>
      </c>
    </row>
    <row r="182" spans="1:4" outlineLevel="2" x14ac:dyDescent="0.3">
      <c r="A182" s="8">
        <v>45535</v>
      </c>
      <c r="B182" s="10" t="s">
        <v>24</v>
      </c>
      <c r="C182" s="10" t="s">
        <v>7</v>
      </c>
      <c r="D182" s="1">
        <v>0.2316508937960042</v>
      </c>
    </row>
    <row r="183" spans="1:4" outlineLevel="2" x14ac:dyDescent="0.3">
      <c r="A183" s="8">
        <v>45543</v>
      </c>
      <c r="B183" s="10" t="s">
        <v>23</v>
      </c>
      <c r="C183" s="10" t="s">
        <v>7</v>
      </c>
      <c r="D183" s="1">
        <v>0.14265722032712325</v>
      </c>
    </row>
    <row r="184" spans="1:4" outlineLevel="2" x14ac:dyDescent="0.3">
      <c r="A184" s="5">
        <v>45544</v>
      </c>
      <c r="B184" s="7" t="s">
        <v>23</v>
      </c>
      <c r="C184" s="7" t="s">
        <v>7</v>
      </c>
      <c r="D184" s="2">
        <v>6.3809622724794221E-2</v>
      </c>
    </row>
    <row r="185" spans="1:4" outlineLevel="2" x14ac:dyDescent="0.3">
      <c r="A185" s="5">
        <v>45545</v>
      </c>
      <c r="B185" s="7" t="s">
        <v>24</v>
      </c>
      <c r="C185" s="7" t="s">
        <v>7</v>
      </c>
      <c r="D185" s="2">
        <v>0.10339256865912763</v>
      </c>
    </row>
    <row r="186" spans="1:4" outlineLevel="2" x14ac:dyDescent="0.3">
      <c r="A186" s="5">
        <v>45553</v>
      </c>
      <c r="B186" s="7" t="s">
        <v>20</v>
      </c>
      <c r="C186" s="7" t="s">
        <v>7</v>
      </c>
      <c r="D186" s="2">
        <v>0.35666666666666669</v>
      </c>
    </row>
    <row r="187" spans="1:4" outlineLevel="2" x14ac:dyDescent="0.3">
      <c r="A187" s="5">
        <v>45564</v>
      </c>
      <c r="B187" s="7" t="s">
        <v>20</v>
      </c>
      <c r="C187" s="7" t="s">
        <v>7</v>
      </c>
      <c r="D187" s="2">
        <v>8.9577656675749323E-2</v>
      </c>
    </row>
    <row r="188" spans="1:4" outlineLevel="2" x14ac:dyDescent="0.3">
      <c r="A188" s="5">
        <v>45570</v>
      </c>
      <c r="B188" s="7" t="s">
        <v>22</v>
      </c>
      <c r="C188" s="7" t="s">
        <v>7</v>
      </c>
      <c r="D188" s="2">
        <v>0.17441662408448305</v>
      </c>
    </row>
    <row r="189" spans="1:4" outlineLevel="2" x14ac:dyDescent="0.3">
      <c r="A189" s="8">
        <v>45574</v>
      </c>
      <c r="B189" s="10" t="s">
        <v>23</v>
      </c>
      <c r="C189" s="10" t="s">
        <v>7</v>
      </c>
      <c r="D189" s="1">
        <v>8.860696018453515E-2</v>
      </c>
    </row>
    <row r="190" spans="1:4" outlineLevel="2" x14ac:dyDescent="0.3">
      <c r="A190" s="8">
        <v>45580</v>
      </c>
      <c r="B190" s="10" t="s">
        <v>25</v>
      </c>
      <c r="C190" s="10" t="s">
        <v>7</v>
      </c>
      <c r="D190" s="1">
        <v>0.16118220597196831</v>
      </c>
    </row>
    <row r="191" spans="1:4" outlineLevel="2" x14ac:dyDescent="0.3">
      <c r="A191" s="8">
        <v>45582</v>
      </c>
      <c r="B191" s="10" t="s">
        <v>25</v>
      </c>
      <c r="C191" s="10" t="s">
        <v>7</v>
      </c>
      <c r="D191" s="1">
        <v>0.20675990675990677</v>
      </c>
    </row>
    <row r="192" spans="1:4" outlineLevel="2" x14ac:dyDescent="0.3">
      <c r="A192" s="8">
        <v>45584</v>
      </c>
      <c r="B192" s="10" t="s">
        <v>22</v>
      </c>
      <c r="C192" s="10" t="s">
        <v>7</v>
      </c>
      <c r="D192" s="1">
        <v>9.4413295955146179E-2</v>
      </c>
    </row>
    <row r="193" spans="1:4" outlineLevel="2" x14ac:dyDescent="0.3">
      <c r="A193" s="8">
        <v>45586</v>
      </c>
      <c r="B193" s="10" t="s">
        <v>20</v>
      </c>
      <c r="C193" s="10" t="s">
        <v>7</v>
      </c>
      <c r="D193" s="1">
        <v>0.15283323095823095</v>
      </c>
    </row>
    <row r="194" spans="1:4" outlineLevel="2" x14ac:dyDescent="0.3">
      <c r="A194" s="5">
        <v>45587</v>
      </c>
      <c r="B194" s="7" t="s">
        <v>23</v>
      </c>
      <c r="C194" s="7" t="s">
        <v>7</v>
      </c>
      <c r="D194" s="2">
        <v>0.1095786671562328</v>
      </c>
    </row>
    <row r="195" spans="1:4" outlineLevel="2" x14ac:dyDescent="0.3">
      <c r="A195" s="5">
        <v>45593</v>
      </c>
      <c r="B195" s="7" t="s">
        <v>20</v>
      </c>
      <c r="C195" s="7" t="s">
        <v>7</v>
      </c>
      <c r="D195" s="2">
        <v>0.13351302785265048</v>
      </c>
    </row>
    <row r="196" spans="1:4" outlineLevel="2" x14ac:dyDescent="0.3">
      <c r="A196" s="8">
        <v>45602</v>
      </c>
      <c r="B196" s="10" t="s">
        <v>25</v>
      </c>
      <c r="C196" s="10" t="s">
        <v>7</v>
      </c>
      <c r="D196" s="1">
        <v>7.6867995018679955E-2</v>
      </c>
    </row>
    <row r="197" spans="1:4" outlineLevel="2" x14ac:dyDescent="0.3">
      <c r="A197" s="5">
        <v>45610</v>
      </c>
      <c r="B197" s="7" t="s">
        <v>22</v>
      </c>
      <c r="C197" s="7" t="s">
        <v>7</v>
      </c>
      <c r="D197" s="2">
        <v>0.12942500000000001</v>
      </c>
    </row>
    <row r="198" spans="1:4" outlineLevel="2" x14ac:dyDescent="0.3">
      <c r="A198" s="5">
        <v>45618</v>
      </c>
      <c r="B198" s="7" t="s">
        <v>23</v>
      </c>
      <c r="C198" s="7" t="s">
        <v>7</v>
      </c>
      <c r="D198" s="2">
        <v>0.53773584905660377</v>
      </c>
    </row>
    <row r="199" spans="1:4" outlineLevel="2" x14ac:dyDescent="0.3">
      <c r="A199" s="8">
        <v>45619</v>
      </c>
      <c r="B199" s="10" t="s">
        <v>24</v>
      </c>
      <c r="C199" s="10" t="s">
        <v>7</v>
      </c>
      <c r="D199" s="1">
        <v>7.4071349760941527E-2</v>
      </c>
    </row>
    <row r="200" spans="1:4" outlineLevel="2" x14ac:dyDescent="0.3">
      <c r="A200" s="8">
        <v>45621</v>
      </c>
      <c r="B200" s="10" t="s">
        <v>24</v>
      </c>
      <c r="C200" s="10" t="s">
        <v>7</v>
      </c>
      <c r="D200" s="1">
        <v>7.2126493695121141E-2</v>
      </c>
    </row>
    <row r="201" spans="1:4" outlineLevel="2" x14ac:dyDescent="0.3">
      <c r="A201" s="5">
        <v>45621</v>
      </c>
      <c r="B201" s="7" t="s">
        <v>22</v>
      </c>
      <c r="C201" s="7" t="s">
        <v>7</v>
      </c>
      <c r="D201" s="2">
        <v>0.10086880280567512</v>
      </c>
    </row>
    <row r="202" spans="1:4" outlineLevel="2" x14ac:dyDescent="0.3">
      <c r="A202" s="8">
        <v>45624</v>
      </c>
      <c r="B202" s="10" t="s">
        <v>21</v>
      </c>
      <c r="C202" s="10" t="s">
        <v>7</v>
      </c>
      <c r="D202" s="1">
        <v>6.461481657304112E-2</v>
      </c>
    </row>
    <row r="203" spans="1:4" outlineLevel="2" x14ac:dyDescent="0.3">
      <c r="A203" s="8">
        <v>45626</v>
      </c>
      <c r="B203" s="10" t="s">
        <v>25</v>
      </c>
      <c r="C203" s="10" t="s">
        <v>7</v>
      </c>
      <c r="D203" s="1">
        <v>0.11861662987490802</v>
      </c>
    </row>
    <row r="204" spans="1:4" outlineLevel="2" x14ac:dyDescent="0.3">
      <c r="A204" s="8">
        <v>45629</v>
      </c>
      <c r="B204" s="10" t="s">
        <v>25</v>
      </c>
      <c r="C204" s="10" t="s">
        <v>7</v>
      </c>
      <c r="D204" s="1">
        <v>0.12490884163239112</v>
      </c>
    </row>
    <row r="205" spans="1:4" outlineLevel="2" x14ac:dyDescent="0.3">
      <c r="A205" s="8">
        <v>45629</v>
      </c>
      <c r="B205" s="10" t="s">
        <v>24</v>
      </c>
      <c r="C205" s="10" t="s">
        <v>7</v>
      </c>
      <c r="D205" s="1">
        <v>6.2603126356925748E-2</v>
      </c>
    </row>
    <row r="206" spans="1:4" outlineLevel="2" x14ac:dyDescent="0.3">
      <c r="A206" s="5">
        <v>45645</v>
      </c>
      <c r="B206" s="7" t="s">
        <v>21</v>
      </c>
      <c r="C206" s="7" t="s">
        <v>7</v>
      </c>
      <c r="D206" s="2">
        <v>0.12575841147269717</v>
      </c>
    </row>
    <row r="207" spans="1:4" outlineLevel="2" x14ac:dyDescent="0.3">
      <c r="A207" s="5">
        <v>45646</v>
      </c>
      <c r="B207" s="7" t="s">
        <v>23</v>
      </c>
      <c r="C207" s="7" t="s">
        <v>7</v>
      </c>
      <c r="D207" s="2">
        <v>8.3921940869371006E-2</v>
      </c>
    </row>
    <row r="208" spans="1:4" outlineLevel="2" x14ac:dyDescent="0.3">
      <c r="A208" s="8">
        <v>45647</v>
      </c>
      <c r="B208" s="10" t="s">
        <v>24</v>
      </c>
      <c r="C208" s="10" t="s">
        <v>7</v>
      </c>
      <c r="D208" s="1">
        <v>0.11489268506351293</v>
      </c>
    </row>
    <row r="209" spans="1:4" outlineLevel="2" x14ac:dyDescent="0.3">
      <c r="A209" s="8">
        <v>45655</v>
      </c>
      <c r="B209" s="10" t="s">
        <v>23</v>
      </c>
      <c r="C209" s="10" t="s">
        <v>7</v>
      </c>
      <c r="D209" s="1">
        <v>0.14316214319138981</v>
      </c>
    </row>
    <row r="210" spans="1:4" outlineLevel="2" x14ac:dyDescent="0.3">
      <c r="A210" s="8">
        <v>45658</v>
      </c>
      <c r="B210" s="10" t="s">
        <v>25</v>
      </c>
      <c r="C210" s="10" t="s">
        <v>7</v>
      </c>
      <c r="D210" s="1">
        <v>0.17801355732390214</v>
      </c>
    </row>
    <row r="211" spans="1:4" outlineLevel="2" x14ac:dyDescent="0.3">
      <c r="A211" s="5">
        <v>45660</v>
      </c>
      <c r="B211" s="7" t="s">
        <v>24</v>
      </c>
      <c r="C211" s="7" t="s">
        <v>7</v>
      </c>
      <c r="D211" s="2">
        <v>0.1569549774407219</v>
      </c>
    </row>
    <row r="212" spans="1:4" outlineLevel="2" x14ac:dyDescent="0.3">
      <c r="A212" s="8">
        <v>45661</v>
      </c>
      <c r="B212" s="10" t="s">
        <v>20</v>
      </c>
      <c r="C212" s="10" t="s">
        <v>7</v>
      </c>
      <c r="D212" s="1">
        <v>7.7249552156538517E-2</v>
      </c>
    </row>
    <row r="213" spans="1:4" outlineLevel="2" x14ac:dyDescent="0.3">
      <c r="A213" s="8">
        <v>45663</v>
      </c>
      <c r="B213" s="10" t="s">
        <v>23</v>
      </c>
      <c r="C213" s="10" t="s">
        <v>7</v>
      </c>
      <c r="D213" s="1">
        <v>0.17770337301587302</v>
      </c>
    </row>
    <row r="214" spans="1:4" outlineLevel="2" x14ac:dyDescent="0.3">
      <c r="A214" s="5">
        <v>45672</v>
      </c>
      <c r="B214" s="7" t="s">
        <v>20</v>
      </c>
      <c r="C214" s="7" t="s">
        <v>7</v>
      </c>
      <c r="D214" s="2">
        <v>6.7103868574456813E-2</v>
      </c>
    </row>
    <row r="215" spans="1:4" outlineLevel="2" x14ac:dyDescent="0.3">
      <c r="A215" s="8">
        <v>45675</v>
      </c>
      <c r="B215" s="10" t="s">
        <v>22</v>
      </c>
      <c r="C215" s="10" t="s">
        <v>7</v>
      </c>
      <c r="D215" s="1">
        <v>0.17743908486792079</v>
      </c>
    </row>
    <row r="216" spans="1:4" outlineLevel="2" x14ac:dyDescent="0.3">
      <c r="A216" s="5">
        <v>45675</v>
      </c>
      <c r="B216" s="7" t="s">
        <v>24</v>
      </c>
      <c r="C216" s="7" t="s">
        <v>7</v>
      </c>
      <c r="D216" s="2">
        <v>0.15339966832504145</v>
      </c>
    </row>
    <row r="217" spans="1:4" outlineLevel="2" x14ac:dyDescent="0.3">
      <c r="A217" s="5">
        <v>45684</v>
      </c>
      <c r="B217" s="7" t="s">
        <v>21</v>
      </c>
      <c r="C217" s="7" t="s">
        <v>7</v>
      </c>
      <c r="D217" s="2">
        <v>6.5515821264328367E-2</v>
      </c>
    </row>
    <row r="218" spans="1:4" outlineLevel="2" x14ac:dyDescent="0.3">
      <c r="A218" s="8">
        <v>45688</v>
      </c>
      <c r="B218" s="10" t="s">
        <v>23</v>
      </c>
      <c r="C218" s="10" t="s">
        <v>7</v>
      </c>
      <c r="D218" s="1">
        <v>0.21208106001558846</v>
      </c>
    </row>
    <row r="219" spans="1:4" outlineLevel="2" x14ac:dyDescent="0.3">
      <c r="A219" s="5">
        <v>45690</v>
      </c>
      <c r="B219" s="7" t="s">
        <v>22</v>
      </c>
      <c r="C219" s="7" t="s">
        <v>7</v>
      </c>
      <c r="D219" s="2">
        <v>0.26297968397291194</v>
      </c>
    </row>
    <row r="220" spans="1:4" outlineLevel="2" x14ac:dyDescent="0.3">
      <c r="A220" s="8">
        <v>45694</v>
      </c>
      <c r="B220" s="10" t="s">
        <v>24</v>
      </c>
      <c r="C220" s="10" t="s">
        <v>7</v>
      </c>
      <c r="D220" s="1">
        <v>7.172350922350923E-2</v>
      </c>
    </row>
    <row r="221" spans="1:4" outlineLevel="2" x14ac:dyDescent="0.3">
      <c r="A221" s="5">
        <v>45700</v>
      </c>
      <c r="B221" s="7" t="s">
        <v>22</v>
      </c>
      <c r="C221" s="7" t="s">
        <v>7</v>
      </c>
      <c r="D221" s="2">
        <v>8.7752275425405618E-2</v>
      </c>
    </row>
    <row r="222" spans="1:4" outlineLevel="2" x14ac:dyDescent="0.3">
      <c r="A222" s="5">
        <v>45704</v>
      </c>
      <c r="B222" s="7" t="s">
        <v>22</v>
      </c>
      <c r="C222" s="7" t="s">
        <v>7</v>
      </c>
      <c r="D222" s="2">
        <v>0.14521452145214522</v>
      </c>
    </row>
    <row r="223" spans="1:4" outlineLevel="2" x14ac:dyDescent="0.3">
      <c r="A223" s="8">
        <v>45720</v>
      </c>
      <c r="B223" s="10" t="s">
        <v>22</v>
      </c>
      <c r="C223" s="10" t="s">
        <v>7</v>
      </c>
      <c r="D223" s="1">
        <v>0.20416333066453163</v>
      </c>
    </row>
    <row r="224" spans="1:4" outlineLevel="2" x14ac:dyDescent="0.3">
      <c r="A224" s="5">
        <v>45721</v>
      </c>
      <c r="B224" s="7" t="s">
        <v>20</v>
      </c>
      <c r="C224" s="7" t="s">
        <v>7</v>
      </c>
      <c r="D224" s="2">
        <v>0.21840570317563188</v>
      </c>
    </row>
    <row r="225" spans="1:4" outlineLevel="2" x14ac:dyDescent="0.3">
      <c r="A225" s="8">
        <v>45724</v>
      </c>
      <c r="B225" s="10" t="s">
        <v>20</v>
      </c>
      <c r="C225" s="10" t="s">
        <v>7</v>
      </c>
      <c r="D225" s="1">
        <v>0.18433235867446393</v>
      </c>
    </row>
    <row r="226" spans="1:4" outlineLevel="2" x14ac:dyDescent="0.3">
      <c r="A226" s="8">
        <v>45743</v>
      </c>
      <c r="B226" s="10" t="s">
        <v>23</v>
      </c>
      <c r="C226" s="10" t="s">
        <v>7</v>
      </c>
      <c r="D226" s="1">
        <v>0.11619462599854757</v>
      </c>
    </row>
    <row r="227" spans="1:4" outlineLevel="2" x14ac:dyDescent="0.3">
      <c r="A227" s="5">
        <v>45753</v>
      </c>
      <c r="B227" s="7" t="s">
        <v>23</v>
      </c>
      <c r="C227" s="7" t="s">
        <v>7</v>
      </c>
      <c r="D227" s="2">
        <v>0.33618012422360249</v>
      </c>
    </row>
    <row r="228" spans="1:4" outlineLevel="2" x14ac:dyDescent="0.3">
      <c r="A228" s="5">
        <v>45762</v>
      </c>
      <c r="B228" s="7" t="s">
        <v>20</v>
      </c>
      <c r="C228" s="7" t="s">
        <v>7</v>
      </c>
      <c r="D228" s="2">
        <v>0.86601941747572819</v>
      </c>
    </row>
    <row r="229" spans="1:4" outlineLevel="2" x14ac:dyDescent="0.3">
      <c r="A229" s="5">
        <v>45764</v>
      </c>
      <c r="B229" s="7" t="s">
        <v>23</v>
      </c>
      <c r="C229" s="7" t="s">
        <v>7</v>
      </c>
      <c r="D229" s="2">
        <v>6.800325430032543E-2</v>
      </c>
    </row>
    <row r="230" spans="1:4" outlineLevel="2" x14ac:dyDescent="0.3">
      <c r="A230" s="8">
        <v>45778</v>
      </c>
      <c r="B230" s="10" t="s">
        <v>23</v>
      </c>
      <c r="C230" s="10" t="s">
        <v>7</v>
      </c>
      <c r="D230" s="1">
        <v>8.21914819340199E-2</v>
      </c>
    </row>
    <row r="231" spans="1:4" outlineLevel="2" x14ac:dyDescent="0.3">
      <c r="A231" s="8">
        <v>45778</v>
      </c>
      <c r="B231" s="10" t="s">
        <v>21</v>
      </c>
      <c r="C231" s="10" t="s">
        <v>7</v>
      </c>
      <c r="D231" s="1">
        <v>8.5734265734265735E-2</v>
      </c>
    </row>
    <row r="232" spans="1:4" outlineLevel="2" x14ac:dyDescent="0.3">
      <c r="A232" s="8">
        <v>45782</v>
      </c>
      <c r="B232" s="10" t="s">
        <v>21</v>
      </c>
      <c r="C232" s="10" t="s">
        <v>7</v>
      </c>
      <c r="D232" s="1">
        <v>9.4235532537716729E-2</v>
      </c>
    </row>
    <row r="233" spans="1:4" outlineLevel="2" x14ac:dyDescent="0.3">
      <c r="A233" s="8">
        <v>45783</v>
      </c>
      <c r="B233" s="10" t="s">
        <v>24</v>
      </c>
      <c r="C233" s="10" t="s">
        <v>7</v>
      </c>
      <c r="D233" s="1">
        <v>0.16540727459016394</v>
      </c>
    </row>
    <row r="234" spans="1:4" outlineLevel="2" x14ac:dyDescent="0.3">
      <c r="A234" s="8">
        <v>45786</v>
      </c>
      <c r="B234" s="10" t="s">
        <v>20</v>
      </c>
      <c r="C234" s="10" t="s">
        <v>7</v>
      </c>
      <c r="D234" s="1">
        <v>5.8243321401216137E-2</v>
      </c>
    </row>
    <row r="235" spans="1:4" outlineLevel="2" x14ac:dyDescent="0.3">
      <c r="A235" s="5">
        <v>45790</v>
      </c>
      <c r="B235" s="7" t="s">
        <v>24</v>
      </c>
      <c r="C235" s="7" t="s">
        <v>7</v>
      </c>
      <c r="D235" s="2">
        <v>0.32083531086853345</v>
      </c>
    </row>
    <row r="236" spans="1:4" outlineLevel="2" x14ac:dyDescent="0.3">
      <c r="A236" s="8">
        <v>45791</v>
      </c>
      <c r="B236" s="10" t="s">
        <v>21</v>
      </c>
      <c r="C236" s="10" t="s">
        <v>7</v>
      </c>
      <c r="D236" s="1">
        <v>0.12428384068475185</v>
      </c>
    </row>
    <row r="237" spans="1:4" outlineLevel="1" x14ac:dyDescent="0.3">
      <c r="A237" s="8"/>
      <c r="B237" s="10"/>
      <c r="C237" s="37" t="s">
        <v>29</v>
      </c>
      <c r="D237" s="1">
        <f>SUBTOTAL(9,D159:D236)</f>
        <v>11.266765647159529</v>
      </c>
    </row>
    <row r="238" spans="1:4" outlineLevel="2" x14ac:dyDescent="0.3">
      <c r="A238" s="8">
        <v>45457</v>
      </c>
      <c r="B238" s="10" t="s">
        <v>23</v>
      </c>
      <c r="C238" s="10" t="s">
        <v>8</v>
      </c>
      <c r="D238" s="1">
        <v>0.12896028558679162</v>
      </c>
    </row>
    <row r="239" spans="1:4" outlineLevel="2" x14ac:dyDescent="0.3">
      <c r="A239" s="8">
        <v>45460</v>
      </c>
      <c r="B239" s="10" t="s">
        <v>24</v>
      </c>
      <c r="C239" s="10" t="s">
        <v>8</v>
      </c>
      <c r="D239" s="1">
        <v>9.1897770527460579E-2</v>
      </c>
    </row>
    <row r="240" spans="1:4" outlineLevel="2" x14ac:dyDescent="0.3">
      <c r="A240" s="5">
        <v>45462</v>
      </c>
      <c r="B240" s="7" t="s">
        <v>23</v>
      </c>
      <c r="C240" s="7" t="s">
        <v>8</v>
      </c>
      <c r="D240" s="2">
        <v>0.18248432325794406</v>
      </c>
    </row>
    <row r="241" spans="1:4" outlineLevel="2" x14ac:dyDescent="0.3">
      <c r="A241" s="5">
        <v>45465</v>
      </c>
      <c r="B241" s="7" t="s">
        <v>21</v>
      </c>
      <c r="C241" s="7" t="s">
        <v>8</v>
      </c>
      <c r="D241" s="2">
        <v>0.13809430512016718</v>
      </c>
    </row>
    <row r="242" spans="1:4" outlineLevel="2" x14ac:dyDescent="0.3">
      <c r="A242" s="5">
        <v>45474</v>
      </c>
      <c r="B242" s="7" t="s">
        <v>22</v>
      </c>
      <c r="C242" s="7" t="s">
        <v>8</v>
      </c>
      <c r="D242" s="2">
        <v>8.1808097615085965E-2</v>
      </c>
    </row>
    <row r="243" spans="1:4" outlineLevel="2" x14ac:dyDescent="0.3">
      <c r="A243" s="5">
        <v>45480</v>
      </c>
      <c r="B243" s="7" t="s">
        <v>20</v>
      </c>
      <c r="C243" s="7" t="s">
        <v>8</v>
      </c>
      <c r="D243" s="2">
        <v>0.18519683938186141</v>
      </c>
    </row>
    <row r="244" spans="1:4" outlineLevel="2" x14ac:dyDescent="0.3">
      <c r="A244" s="8">
        <v>45483</v>
      </c>
      <c r="B244" s="10" t="s">
        <v>23</v>
      </c>
      <c r="C244" s="10" t="s">
        <v>8</v>
      </c>
      <c r="D244" s="1">
        <v>9.1365878393951966E-2</v>
      </c>
    </row>
    <row r="245" spans="1:4" outlineLevel="2" x14ac:dyDescent="0.3">
      <c r="A245" s="5">
        <v>45484</v>
      </c>
      <c r="B245" s="7" t="s">
        <v>21</v>
      </c>
      <c r="C245" s="7" t="s">
        <v>8</v>
      </c>
      <c r="D245" s="2">
        <v>0.20357370772176134</v>
      </c>
    </row>
    <row r="246" spans="1:4" outlineLevel="2" x14ac:dyDescent="0.3">
      <c r="A246" s="8">
        <v>45494</v>
      </c>
      <c r="B246" s="10" t="s">
        <v>21</v>
      </c>
      <c r="C246" s="10" t="s">
        <v>8</v>
      </c>
      <c r="D246" s="1">
        <v>0.17291569632044715</v>
      </c>
    </row>
    <row r="247" spans="1:4" outlineLevel="2" x14ac:dyDescent="0.3">
      <c r="A247" s="8">
        <v>45496</v>
      </c>
      <c r="B247" s="10" t="s">
        <v>22</v>
      </c>
      <c r="C247" s="10" t="s">
        <v>8</v>
      </c>
      <c r="D247" s="1">
        <v>0.10793717277486911</v>
      </c>
    </row>
    <row r="248" spans="1:4" outlineLevel="2" x14ac:dyDescent="0.3">
      <c r="A248" s="8">
        <v>45502</v>
      </c>
      <c r="B248" s="10" t="s">
        <v>22</v>
      </c>
      <c r="C248" s="10" t="s">
        <v>8</v>
      </c>
      <c r="D248" s="1">
        <v>0.32349397590361445</v>
      </c>
    </row>
    <row r="249" spans="1:4" outlineLevel="2" x14ac:dyDescent="0.3">
      <c r="A249" s="5">
        <v>45504</v>
      </c>
      <c r="B249" s="7" t="s">
        <v>23</v>
      </c>
      <c r="C249" s="7" t="s">
        <v>8</v>
      </c>
      <c r="D249" s="2">
        <v>0.19088381621305239</v>
      </c>
    </row>
    <row r="250" spans="1:4" outlineLevel="2" x14ac:dyDescent="0.3">
      <c r="A250" s="8">
        <v>45509</v>
      </c>
      <c r="B250" s="10" t="s">
        <v>20</v>
      </c>
      <c r="C250" s="10" t="s">
        <v>8</v>
      </c>
      <c r="D250" s="1">
        <v>0.16754738655944859</v>
      </c>
    </row>
    <row r="251" spans="1:4" outlineLevel="2" x14ac:dyDescent="0.3">
      <c r="A251" s="5">
        <v>45518</v>
      </c>
      <c r="B251" s="7" t="s">
        <v>23</v>
      </c>
      <c r="C251" s="7" t="s">
        <v>8</v>
      </c>
      <c r="D251" s="2">
        <v>7.2739802071170159E-2</v>
      </c>
    </row>
    <row r="252" spans="1:4" outlineLevel="2" x14ac:dyDescent="0.3">
      <c r="A252" s="5">
        <v>45528</v>
      </c>
      <c r="B252" s="7" t="s">
        <v>25</v>
      </c>
      <c r="C252" s="7" t="s">
        <v>8</v>
      </c>
      <c r="D252" s="2">
        <v>9.1137810638734856E-2</v>
      </c>
    </row>
    <row r="253" spans="1:4" outlineLevel="2" x14ac:dyDescent="0.3">
      <c r="A253" s="8">
        <v>45531</v>
      </c>
      <c r="B253" s="10" t="s">
        <v>20</v>
      </c>
      <c r="C253" s="10" t="s">
        <v>8</v>
      </c>
      <c r="D253" s="1">
        <v>0.11879910213243547</v>
      </c>
    </row>
    <row r="254" spans="1:4" outlineLevel="2" x14ac:dyDescent="0.3">
      <c r="A254" s="8">
        <v>45537</v>
      </c>
      <c r="B254" s="10" t="s">
        <v>24</v>
      </c>
      <c r="C254" s="10" t="s">
        <v>8</v>
      </c>
      <c r="D254" s="1">
        <v>5.9928644240570844E-2</v>
      </c>
    </row>
    <row r="255" spans="1:4" outlineLevel="2" x14ac:dyDescent="0.3">
      <c r="A255" s="8">
        <v>45552</v>
      </c>
      <c r="B255" s="10" t="s">
        <v>21</v>
      </c>
      <c r="C255" s="10" t="s">
        <v>8</v>
      </c>
      <c r="D255" s="1">
        <v>7.1501685934489398E-2</v>
      </c>
    </row>
    <row r="256" spans="1:4" outlineLevel="2" x14ac:dyDescent="0.3">
      <c r="A256" s="5">
        <v>45553</v>
      </c>
      <c r="B256" s="7" t="s">
        <v>23</v>
      </c>
      <c r="C256" s="7" t="s">
        <v>8</v>
      </c>
      <c r="D256" s="2">
        <v>5.7936488444630008E-2</v>
      </c>
    </row>
    <row r="257" spans="1:4" outlineLevel="2" x14ac:dyDescent="0.3">
      <c r="A257" s="8">
        <v>45567</v>
      </c>
      <c r="B257" s="10" t="s">
        <v>23</v>
      </c>
      <c r="C257" s="10" t="s">
        <v>8</v>
      </c>
      <c r="D257" s="1">
        <v>0.11369088028965829</v>
      </c>
    </row>
    <row r="258" spans="1:4" outlineLevel="2" x14ac:dyDescent="0.3">
      <c r="A258" s="8">
        <v>45569</v>
      </c>
      <c r="B258" s="10" t="s">
        <v>20</v>
      </c>
      <c r="C258" s="10" t="s">
        <v>8</v>
      </c>
      <c r="D258" s="1">
        <v>6.3947934081681396E-2</v>
      </c>
    </row>
    <row r="259" spans="1:4" outlineLevel="2" x14ac:dyDescent="0.3">
      <c r="A259" s="5">
        <v>45586</v>
      </c>
      <c r="B259" s="7" t="s">
        <v>22</v>
      </c>
      <c r="C259" s="7" t="s">
        <v>8</v>
      </c>
      <c r="D259" s="2">
        <v>0.13599052880820836</v>
      </c>
    </row>
    <row r="260" spans="1:4" outlineLevel="2" x14ac:dyDescent="0.3">
      <c r="A260" s="5">
        <v>45586</v>
      </c>
      <c r="B260" s="7" t="s">
        <v>22</v>
      </c>
      <c r="C260" s="7" t="s">
        <v>8</v>
      </c>
      <c r="D260" s="2">
        <v>0.23414918414918415</v>
      </c>
    </row>
    <row r="261" spans="1:4" outlineLevel="2" x14ac:dyDescent="0.3">
      <c r="A261" s="5">
        <v>45586</v>
      </c>
      <c r="B261" s="7" t="s">
        <v>25</v>
      </c>
      <c r="C261" s="7" t="s">
        <v>8</v>
      </c>
      <c r="D261" s="2">
        <v>8.3274853801169585E-2</v>
      </c>
    </row>
    <row r="262" spans="1:4" outlineLevel="2" x14ac:dyDescent="0.3">
      <c r="A262" s="8">
        <v>45587</v>
      </c>
      <c r="B262" s="10" t="s">
        <v>22</v>
      </c>
      <c r="C262" s="10" t="s">
        <v>8</v>
      </c>
      <c r="D262" s="1">
        <v>6.7234398994834563E-2</v>
      </c>
    </row>
    <row r="263" spans="1:4" outlineLevel="2" x14ac:dyDescent="0.3">
      <c r="A263" s="8">
        <v>45597</v>
      </c>
      <c r="B263" s="10" t="s">
        <v>25</v>
      </c>
      <c r="C263" s="10" t="s">
        <v>8</v>
      </c>
      <c r="D263" s="1">
        <v>7.5229902106199939E-2</v>
      </c>
    </row>
    <row r="264" spans="1:4" outlineLevel="2" x14ac:dyDescent="0.3">
      <c r="A264" s="5">
        <v>45603</v>
      </c>
      <c r="B264" s="7" t="s">
        <v>22</v>
      </c>
      <c r="C264" s="7" t="s">
        <v>8</v>
      </c>
      <c r="D264" s="2">
        <v>8.1177520071364848E-2</v>
      </c>
    </row>
    <row r="265" spans="1:4" outlineLevel="2" x14ac:dyDescent="0.3">
      <c r="A265" s="5">
        <v>45603</v>
      </c>
      <c r="B265" s="7" t="s">
        <v>25</v>
      </c>
      <c r="C265" s="7" t="s">
        <v>8</v>
      </c>
      <c r="D265" s="2">
        <v>0.70387596899224802</v>
      </c>
    </row>
    <row r="266" spans="1:4" outlineLevel="2" x14ac:dyDescent="0.3">
      <c r="A266" s="5">
        <v>45608</v>
      </c>
      <c r="B266" s="7" t="s">
        <v>21</v>
      </c>
      <c r="C266" s="7" t="s">
        <v>8</v>
      </c>
      <c r="D266" s="2">
        <v>7.412002573292896E-2</v>
      </c>
    </row>
    <row r="267" spans="1:4" outlineLevel="2" x14ac:dyDescent="0.3">
      <c r="A267" s="8">
        <v>45614</v>
      </c>
      <c r="B267" s="10" t="s">
        <v>23</v>
      </c>
      <c r="C267" s="10" t="s">
        <v>8</v>
      </c>
      <c r="D267" s="1">
        <v>7.5868578363072495E-2</v>
      </c>
    </row>
    <row r="268" spans="1:4" outlineLevel="2" x14ac:dyDescent="0.3">
      <c r="A268" s="8">
        <v>45617</v>
      </c>
      <c r="B268" s="10" t="s">
        <v>23</v>
      </c>
      <c r="C268" s="10" t="s">
        <v>8</v>
      </c>
      <c r="D268" s="1">
        <v>5.7332570758993957E-2</v>
      </c>
    </row>
    <row r="269" spans="1:4" outlineLevel="2" x14ac:dyDescent="0.3">
      <c r="A269" s="5">
        <v>45629</v>
      </c>
      <c r="B269" s="7" t="s">
        <v>21</v>
      </c>
      <c r="C269" s="7" t="s">
        <v>8</v>
      </c>
      <c r="D269" s="2">
        <v>9.023070704558174E-2</v>
      </c>
    </row>
    <row r="270" spans="1:4" outlineLevel="2" x14ac:dyDescent="0.3">
      <c r="A270" s="8">
        <v>45629</v>
      </c>
      <c r="B270" s="10" t="s">
        <v>22</v>
      </c>
      <c r="C270" s="10" t="s">
        <v>8</v>
      </c>
      <c r="D270" s="1">
        <v>9.9578134817341346E-2</v>
      </c>
    </row>
    <row r="271" spans="1:4" outlineLevel="2" x14ac:dyDescent="0.3">
      <c r="A271" s="8">
        <v>45631</v>
      </c>
      <c r="B271" s="10" t="s">
        <v>25</v>
      </c>
      <c r="C271" s="10" t="s">
        <v>8</v>
      </c>
      <c r="D271" s="1">
        <v>0.14348370927318296</v>
      </c>
    </row>
    <row r="272" spans="1:4" outlineLevel="2" x14ac:dyDescent="0.3">
      <c r="A272" s="8">
        <v>45640</v>
      </c>
      <c r="B272" s="10" t="s">
        <v>23</v>
      </c>
      <c r="C272" s="10" t="s">
        <v>8</v>
      </c>
      <c r="D272" s="1">
        <v>0.21826126954921804</v>
      </c>
    </row>
    <row r="273" spans="1:4" outlineLevel="2" x14ac:dyDescent="0.3">
      <c r="A273" s="8">
        <v>45642</v>
      </c>
      <c r="B273" s="10" t="s">
        <v>21</v>
      </c>
      <c r="C273" s="10" t="s">
        <v>8</v>
      </c>
      <c r="D273" s="1">
        <v>0.28245270711024134</v>
      </c>
    </row>
    <row r="274" spans="1:4" outlineLevel="2" x14ac:dyDescent="0.3">
      <c r="A274" s="8">
        <v>45648</v>
      </c>
      <c r="B274" s="10" t="s">
        <v>24</v>
      </c>
      <c r="C274" s="10" t="s">
        <v>8</v>
      </c>
      <c r="D274" s="1">
        <v>0.1283706906360223</v>
      </c>
    </row>
    <row r="275" spans="1:4" outlineLevel="2" x14ac:dyDescent="0.3">
      <c r="A275" s="8">
        <v>45657</v>
      </c>
      <c r="B275" s="10" t="s">
        <v>25</v>
      </c>
      <c r="C275" s="10" t="s">
        <v>8</v>
      </c>
      <c r="D275" s="1">
        <v>9.8068107400130972E-2</v>
      </c>
    </row>
    <row r="276" spans="1:4" outlineLevel="2" x14ac:dyDescent="0.3">
      <c r="A276" s="5">
        <v>45658</v>
      </c>
      <c r="B276" s="7" t="s">
        <v>23</v>
      </c>
      <c r="C276" s="7" t="s">
        <v>8</v>
      </c>
      <c r="D276" s="2">
        <v>0.29713518352730528</v>
      </c>
    </row>
    <row r="277" spans="1:4" outlineLevel="2" x14ac:dyDescent="0.3">
      <c r="A277" s="5">
        <v>45667</v>
      </c>
      <c r="B277" s="7" t="s">
        <v>24</v>
      </c>
      <c r="C277" s="7" t="s">
        <v>8</v>
      </c>
      <c r="D277" s="2">
        <v>0.12537731780940101</v>
      </c>
    </row>
    <row r="278" spans="1:4" outlineLevel="2" x14ac:dyDescent="0.3">
      <c r="A278" s="8">
        <v>45668</v>
      </c>
      <c r="B278" s="10" t="s">
        <v>23</v>
      </c>
      <c r="C278" s="10" t="s">
        <v>8</v>
      </c>
      <c r="D278" s="1">
        <v>9.5290736237010829E-2</v>
      </c>
    </row>
    <row r="279" spans="1:4" outlineLevel="2" x14ac:dyDescent="0.3">
      <c r="A279" s="5">
        <v>45671</v>
      </c>
      <c r="B279" s="7" t="s">
        <v>24</v>
      </c>
      <c r="C279" s="7" t="s">
        <v>8</v>
      </c>
      <c r="D279" s="2">
        <v>0.13331166419019316</v>
      </c>
    </row>
    <row r="280" spans="1:4" outlineLevel="2" x14ac:dyDescent="0.3">
      <c r="A280" s="8">
        <v>45672</v>
      </c>
      <c r="B280" s="10" t="s">
        <v>20</v>
      </c>
      <c r="C280" s="10" t="s">
        <v>8</v>
      </c>
      <c r="D280" s="1">
        <v>9.0606816292601824E-2</v>
      </c>
    </row>
    <row r="281" spans="1:4" outlineLevel="2" x14ac:dyDescent="0.3">
      <c r="A281" s="5">
        <v>45687</v>
      </c>
      <c r="B281" s="7" t="s">
        <v>24</v>
      </c>
      <c r="C281" s="7" t="s">
        <v>8</v>
      </c>
      <c r="D281" s="2">
        <v>0.53389830508474578</v>
      </c>
    </row>
    <row r="282" spans="1:4" outlineLevel="2" x14ac:dyDescent="0.3">
      <c r="A282" s="8">
        <v>45695</v>
      </c>
      <c r="B282" s="10" t="s">
        <v>20</v>
      </c>
      <c r="C282" s="10" t="s">
        <v>8</v>
      </c>
      <c r="D282" s="1">
        <v>0.31705583756345179</v>
      </c>
    </row>
    <row r="283" spans="1:4" outlineLevel="2" x14ac:dyDescent="0.3">
      <c r="A283" s="8">
        <v>45698</v>
      </c>
      <c r="B283" s="10" t="s">
        <v>21</v>
      </c>
      <c r="C283" s="10" t="s">
        <v>8</v>
      </c>
      <c r="D283" s="1">
        <v>0.25771055753262156</v>
      </c>
    </row>
    <row r="284" spans="1:4" outlineLevel="2" x14ac:dyDescent="0.3">
      <c r="A284" s="5">
        <v>45705</v>
      </c>
      <c r="B284" s="7" t="s">
        <v>20</v>
      </c>
      <c r="C284" s="7" t="s">
        <v>8</v>
      </c>
      <c r="D284" s="2">
        <v>0.12577012959422137</v>
      </c>
    </row>
    <row r="285" spans="1:4" outlineLevel="2" x14ac:dyDescent="0.3">
      <c r="A285" s="8">
        <v>45712</v>
      </c>
      <c r="B285" s="10" t="s">
        <v>23</v>
      </c>
      <c r="C285" s="10" t="s">
        <v>8</v>
      </c>
      <c r="D285" s="1">
        <v>0.36965174129353234</v>
      </c>
    </row>
    <row r="286" spans="1:4" outlineLevel="2" x14ac:dyDescent="0.3">
      <c r="A286" s="5">
        <v>45713</v>
      </c>
      <c r="B286" s="7" t="s">
        <v>25</v>
      </c>
      <c r="C286" s="7" t="s">
        <v>8</v>
      </c>
      <c r="D286" s="2">
        <v>5.7655717106444085E-2</v>
      </c>
    </row>
    <row r="287" spans="1:4" outlineLevel="2" x14ac:dyDescent="0.3">
      <c r="A287" s="5">
        <v>45715</v>
      </c>
      <c r="B287" s="7" t="s">
        <v>21</v>
      </c>
      <c r="C287" s="7" t="s">
        <v>8</v>
      </c>
      <c r="D287" s="2">
        <v>8.0294585987261149E-2</v>
      </c>
    </row>
    <row r="288" spans="1:4" outlineLevel="2" x14ac:dyDescent="0.3">
      <c r="A288" s="5">
        <v>45719</v>
      </c>
      <c r="B288" s="7" t="s">
        <v>20</v>
      </c>
      <c r="C288" s="7" t="s">
        <v>8</v>
      </c>
      <c r="D288" s="2">
        <v>8.837126600284495E-2</v>
      </c>
    </row>
    <row r="289" spans="1:4" outlineLevel="2" x14ac:dyDescent="0.3">
      <c r="A289" s="5">
        <v>45719</v>
      </c>
      <c r="B289" s="7" t="s">
        <v>25</v>
      </c>
      <c r="C289" s="7" t="s">
        <v>8</v>
      </c>
      <c r="D289" s="2">
        <v>0.123309241094476</v>
      </c>
    </row>
    <row r="290" spans="1:4" outlineLevel="2" x14ac:dyDescent="0.3">
      <c r="A290" s="8">
        <v>45724</v>
      </c>
      <c r="B290" s="10" t="s">
        <v>21</v>
      </c>
      <c r="C290" s="10" t="s">
        <v>8</v>
      </c>
      <c r="D290" s="1">
        <v>9.3421052631578946E-2</v>
      </c>
    </row>
    <row r="291" spans="1:4" outlineLevel="2" x14ac:dyDescent="0.3">
      <c r="A291" s="5">
        <v>45727</v>
      </c>
      <c r="B291" s="7" t="s">
        <v>24</v>
      </c>
      <c r="C291" s="7" t="s">
        <v>8</v>
      </c>
      <c r="D291" s="2">
        <v>7.198635172059864E-2</v>
      </c>
    </row>
    <row r="292" spans="1:4" outlineLevel="2" x14ac:dyDescent="0.3">
      <c r="A292" s="5">
        <v>45727</v>
      </c>
      <c r="B292" s="7" t="s">
        <v>22</v>
      </c>
      <c r="C292" s="7" t="s">
        <v>8</v>
      </c>
      <c r="D292" s="2">
        <v>7.349527665317139E-2</v>
      </c>
    </row>
    <row r="293" spans="1:4" outlineLevel="2" x14ac:dyDescent="0.3">
      <c r="A293" s="5">
        <v>45739</v>
      </c>
      <c r="B293" s="7" t="s">
        <v>22</v>
      </c>
      <c r="C293" s="7" t="s">
        <v>8</v>
      </c>
      <c r="D293" s="2">
        <v>0.13707250341997265</v>
      </c>
    </row>
    <row r="294" spans="1:4" outlineLevel="2" x14ac:dyDescent="0.3">
      <c r="A294" s="8">
        <v>45739</v>
      </c>
      <c r="B294" s="10" t="s">
        <v>25</v>
      </c>
      <c r="C294" s="10" t="s">
        <v>8</v>
      </c>
      <c r="D294" s="1">
        <v>0.15989220750056141</v>
      </c>
    </row>
    <row r="295" spans="1:4" outlineLevel="2" x14ac:dyDescent="0.3">
      <c r="A295" s="5">
        <v>45741</v>
      </c>
      <c r="B295" s="7" t="s">
        <v>22</v>
      </c>
      <c r="C295" s="7" t="s">
        <v>8</v>
      </c>
      <c r="D295" s="2">
        <v>6.9438087973557078E-2</v>
      </c>
    </row>
    <row r="296" spans="1:4" outlineLevel="2" x14ac:dyDescent="0.3">
      <c r="A296" s="5">
        <v>45745</v>
      </c>
      <c r="B296" s="7" t="s">
        <v>24</v>
      </c>
      <c r="C296" s="7" t="s">
        <v>8</v>
      </c>
      <c r="D296" s="2">
        <v>0.16065573770491803</v>
      </c>
    </row>
    <row r="297" spans="1:4" outlineLevel="2" x14ac:dyDescent="0.3">
      <c r="A297" s="8">
        <v>45753</v>
      </c>
      <c r="B297" s="10" t="s">
        <v>24</v>
      </c>
      <c r="C297" s="10" t="s">
        <v>8</v>
      </c>
      <c r="D297" s="1">
        <v>7.9915048543689318E-2</v>
      </c>
    </row>
    <row r="298" spans="1:4" outlineLevel="2" x14ac:dyDescent="0.3">
      <c r="A298" s="8">
        <v>45753</v>
      </c>
      <c r="B298" s="10" t="s">
        <v>24</v>
      </c>
      <c r="C298" s="10" t="s">
        <v>8</v>
      </c>
      <c r="D298" s="1">
        <v>0.24763928234183191</v>
      </c>
    </row>
    <row r="299" spans="1:4" outlineLevel="2" x14ac:dyDescent="0.3">
      <c r="A299" s="8">
        <v>45755</v>
      </c>
      <c r="B299" s="10" t="s">
        <v>24</v>
      </c>
      <c r="C299" s="10" t="s">
        <v>8</v>
      </c>
      <c r="D299" s="1">
        <v>0.23101532992668297</v>
      </c>
    </row>
    <row r="300" spans="1:4" outlineLevel="2" x14ac:dyDescent="0.3">
      <c r="A300" s="5">
        <v>45769</v>
      </c>
      <c r="B300" s="7" t="s">
        <v>24</v>
      </c>
      <c r="C300" s="7" t="s">
        <v>8</v>
      </c>
      <c r="D300" s="2">
        <v>0.19511518179295032</v>
      </c>
    </row>
    <row r="301" spans="1:4" outlineLevel="2" x14ac:dyDescent="0.3">
      <c r="A301" s="5">
        <v>45771</v>
      </c>
      <c r="B301" s="7" t="s">
        <v>20</v>
      </c>
      <c r="C301" s="7" t="s">
        <v>8</v>
      </c>
      <c r="D301" s="2">
        <v>7.1133744304476013E-2</v>
      </c>
    </row>
    <row r="302" spans="1:4" outlineLevel="2" x14ac:dyDescent="0.3">
      <c r="A302" s="5">
        <v>45775</v>
      </c>
      <c r="B302" s="7" t="s">
        <v>21</v>
      </c>
      <c r="C302" s="7" t="s">
        <v>8</v>
      </c>
      <c r="D302" s="2">
        <v>6.8655003457763777E-2</v>
      </c>
    </row>
    <row r="303" spans="1:4" outlineLevel="2" x14ac:dyDescent="0.3">
      <c r="A303" s="5">
        <v>45776</v>
      </c>
      <c r="B303" s="7" t="s">
        <v>22</v>
      </c>
      <c r="C303" s="7" t="s">
        <v>8</v>
      </c>
      <c r="D303" s="2">
        <v>0.7168674698795181</v>
      </c>
    </row>
    <row r="304" spans="1:4" outlineLevel="2" x14ac:dyDescent="0.3">
      <c r="A304" s="5">
        <v>45779</v>
      </c>
      <c r="B304" s="7" t="s">
        <v>25</v>
      </c>
      <c r="C304" s="7" t="s">
        <v>8</v>
      </c>
      <c r="D304" s="2">
        <v>0.16888537906137185</v>
      </c>
    </row>
    <row r="305" spans="1:4" outlineLevel="1" x14ac:dyDescent="0.3">
      <c r="A305" s="35"/>
      <c r="B305" s="34"/>
      <c r="C305" s="38" t="s">
        <v>30</v>
      </c>
      <c r="D305" s="2">
        <f>SUBTOTAL(9,D238:D304)</f>
        <v>10.605167217048503</v>
      </c>
    </row>
    <row r="306" spans="1:4" x14ac:dyDescent="0.3">
      <c r="A306" s="35"/>
      <c r="B306" s="34"/>
      <c r="C306" s="38" t="s">
        <v>31</v>
      </c>
      <c r="D306" s="2">
        <f>SUBTOTAL(9,D2:D304)</f>
        <v>44.484817439558547</v>
      </c>
    </row>
  </sheetData>
  <sortState xmlns:xlrd2="http://schemas.microsoft.com/office/spreadsheetml/2017/richdata2" ref="A2:D313">
    <sortCondition ref="C1:C313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4810E-1E97-4AE0-B91E-2D0E53201B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And Average</vt:lpstr>
      <vt:lpstr>Upliftment And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Arkaprabha Chowdhury</dc:creator>
  <cp:lastModifiedBy>Arkaprabha Chowdhury</cp:lastModifiedBy>
  <dcterms:created xsi:type="dcterms:W3CDTF">2025-12-24T13:25:05Z</dcterms:created>
  <dcterms:modified xsi:type="dcterms:W3CDTF">2025-12-24T19:13:16Z</dcterms:modified>
</cp:coreProperties>
</file>