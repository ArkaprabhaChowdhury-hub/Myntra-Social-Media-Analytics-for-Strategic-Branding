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Data Science\Myntra Social Media Analytics for Strategic Branding (Excel Project)\"/>
    </mc:Choice>
  </mc:AlternateContent>
  <xr:revisionPtr revIDLastSave="0" documentId="8_{1A207724-0C25-4F64-82FF-5E3C94F6C28A}" xr6:coauthVersionLast="47" xr6:coauthVersionMax="47" xr10:uidLastSave="{00000000-0000-0000-0000-000000000000}"/>
  <bookViews>
    <workbookView xWindow="-108" yWindow="-108" windowWidth="23256" windowHeight="12456" activeTab="1" xr2:uid="{ECF9AE9A-0DFE-4F97-8A7D-2F6EBBA4BE80}"/>
  </bookViews>
  <sheets>
    <sheet name="Highest Engagement and Growth " sheetId="1" r:id="rId1"/>
    <sheet name="Visualize and Advi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2" l="1"/>
  <c r="H8" i="2"/>
  <c r="I6" i="2"/>
  <c r="H6" i="2"/>
  <c r="I4" i="2"/>
  <c r="H4" i="2"/>
  <c r="I2" i="2"/>
  <c r="H2" i="2"/>
  <c r="L25" i="1"/>
  <c r="L23" i="1"/>
  <c r="L21" i="1"/>
  <c r="L19" i="1"/>
  <c r="K25" i="1"/>
  <c r="K23" i="1"/>
  <c r="K21" i="1"/>
  <c r="K19" i="1"/>
  <c r="J25" i="1"/>
  <c r="J23" i="1"/>
  <c r="J21" i="1"/>
  <c r="J19" i="1"/>
  <c r="E205" i="1"/>
  <c r="E154" i="1"/>
  <c r="E103" i="1"/>
  <c r="E52" i="1"/>
  <c r="E206" i="1" l="1"/>
</calcChain>
</file>

<file path=xl/sharedStrings.xml><?xml version="1.0" encoding="utf-8"?>
<sst xmlns="http://schemas.openxmlformats.org/spreadsheetml/2006/main" count="429" uniqueCount="21">
  <si>
    <t>Platform</t>
  </si>
  <si>
    <t>New_Followers</t>
  </si>
  <si>
    <t>Unfollows</t>
  </si>
  <si>
    <t>Total_Followers</t>
  </si>
  <si>
    <t>Engagement_Rate</t>
  </si>
  <si>
    <t>Ad_Spend</t>
  </si>
  <si>
    <t>Instagram</t>
  </si>
  <si>
    <t>Facebook</t>
  </si>
  <si>
    <t>Twitter</t>
  </si>
  <si>
    <t>YouTube</t>
  </si>
  <si>
    <t>Grand Total</t>
  </si>
  <si>
    <t>Facebook Total</t>
  </si>
  <si>
    <t>Instagram Total</t>
  </si>
  <si>
    <t>Twitter Total</t>
  </si>
  <si>
    <t>YouTube Total</t>
  </si>
  <si>
    <t>Total New Followers</t>
  </si>
  <si>
    <t>Total Followers</t>
  </si>
  <si>
    <t>Growth Rate</t>
  </si>
  <si>
    <t>Youtube</t>
  </si>
  <si>
    <t>Total Engagement_Rate</t>
  </si>
  <si>
    <t>Total Ad_Spend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</si>
</sst>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</fills>
  <borders count="16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Border="1"/>
    <xf numFmtId="0" fontId="1" fillId="2" borderId="4" xfId="0" applyFont="1" applyFill="1" applyBorder="1"/>
    <xf numFmtId="0" fontId="0" fillId="3" borderId="5" xfId="0" applyNumberFormat="1" applyFont="1" applyFill="1" applyBorder="1"/>
    <xf numFmtId="0" fontId="0" fillId="3" borderId="6" xfId="0" applyFont="1" applyFill="1" applyBorder="1"/>
    <xf numFmtId="0" fontId="0" fillId="4" borderId="7" xfId="0" applyNumberFormat="1" applyFont="1" applyFill="1" applyBorder="1"/>
    <xf numFmtId="0" fontId="0" fillId="4" borderId="8" xfId="0" applyFont="1" applyFill="1" applyBorder="1"/>
    <xf numFmtId="0" fontId="0" fillId="3" borderId="7" xfId="0" applyNumberFormat="1" applyFont="1" applyFill="1" applyBorder="1"/>
    <xf numFmtId="0" fontId="0" fillId="3" borderId="8" xfId="0" applyFont="1" applyFill="1" applyBorder="1"/>
    <xf numFmtId="0" fontId="0" fillId="4" borderId="5" xfId="0" applyNumberFormat="1" applyFont="1" applyFill="1" applyBorder="1"/>
    <xf numFmtId="0" fontId="0" fillId="4" borderId="6" xfId="0" applyFont="1" applyFill="1" applyBorder="1"/>
    <xf numFmtId="0" fontId="0" fillId="4" borderId="0" xfId="0" applyFont="1" applyFill="1" applyBorder="1"/>
    <xf numFmtId="0" fontId="2" fillId="4" borderId="7" xfId="0" applyNumberFormat="1" applyFont="1" applyFill="1" applyBorder="1"/>
    <xf numFmtId="0" fontId="2" fillId="3" borderId="7" xfId="0" applyNumberFormat="1" applyFont="1" applyFill="1" applyBorder="1"/>
    <xf numFmtId="0" fontId="2" fillId="4" borderId="0" xfId="0" applyNumberFormat="1" applyFont="1" applyFill="1" applyBorder="1"/>
    <xf numFmtId="0" fontId="0" fillId="0" borderId="10" xfId="0" applyBorder="1"/>
    <xf numFmtId="3" fontId="0" fillId="0" borderId="11" xfId="0" applyNumberFormat="1" applyBorder="1"/>
    <xf numFmtId="164" fontId="0" fillId="0" borderId="11" xfId="0" applyNumberFormat="1" applyBorder="1"/>
    <xf numFmtId="0" fontId="0" fillId="0" borderId="4" xfId="0" applyBorder="1"/>
    <xf numFmtId="0" fontId="0" fillId="0" borderId="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" xfId="0" applyBorder="1"/>
    <xf numFmtId="0" fontId="0" fillId="0" borderId="9" xfId="0" applyBorder="1"/>
    <xf numFmtId="0" fontId="0" fillId="0" borderId="12" xfId="0" applyBorder="1"/>
    <xf numFmtId="3" fontId="1" fillId="2" borderId="4" xfId="0" applyNumberFormat="1" applyFont="1" applyFill="1" applyBorder="1"/>
    <xf numFmtId="3" fontId="0" fillId="3" borderId="6" xfId="0" applyNumberFormat="1" applyFont="1" applyFill="1" applyBorder="1"/>
    <xf numFmtId="3" fontId="0" fillId="4" borderId="8" xfId="0" applyNumberFormat="1" applyFont="1" applyFill="1" applyBorder="1"/>
    <xf numFmtId="3" fontId="0" fillId="3" borderId="8" xfId="0" applyNumberFormat="1" applyFont="1" applyFill="1" applyBorder="1"/>
    <xf numFmtId="3" fontId="0" fillId="0" borderId="0" xfId="0" applyNumberFormat="1"/>
    <xf numFmtId="3" fontId="0" fillId="0" borderId="3" xfId="0" applyNumberFormat="1" applyBorder="1"/>
    <xf numFmtId="3" fontId="0" fillId="0" borderId="8" xfId="0" applyNumberFormat="1" applyBorder="1"/>
  </cellXfs>
  <cellStyles count="1">
    <cellStyle name="Normal" xfId="0" builtinId="0"/>
  </cellStyles>
  <dxfs count="11">
    <dxf>
      <numFmt numFmtId="3" formatCode="#,##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top style="thin">
          <color theme="0"/>
        </top>
      </border>
    </dxf>
    <dxf>
      <border>
        <bottom style="thin">
          <color theme="0"/>
        </bottom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164" formatCode="0.0000%"/>
      <border diagonalUp="0" diagonalDown="0">
        <left style="thin">
          <color theme="0"/>
        </left>
        <right style="thin">
          <color theme="0"/>
        </right>
        <top/>
        <bottom/>
        <vertical/>
        <horizontal/>
      </border>
    </dxf>
    <dxf>
      <numFmt numFmtId="3" formatCode="#,##0"/>
      <border diagonalUp="0" diagonalDown="0">
        <left style="thin">
          <color theme="0"/>
        </left>
        <right style="thin">
          <color theme="0"/>
        </right>
        <top/>
        <bottom/>
        <vertical/>
        <horizontal/>
      </border>
    </dxf>
    <dxf>
      <numFmt numFmtId="3" formatCode="#,##0"/>
      <border diagonalUp="0" diagonalDown="0">
        <left style="thin">
          <color theme="0"/>
        </left>
        <right style="thin">
          <color theme="0"/>
        </right>
        <top/>
        <bottom/>
        <vertical/>
        <horizontal/>
      </border>
    </dxf>
    <dxf>
      <border diagonalUp="0" diagonalDown="0">
        <left/>
        <right style="thin">
          <color theme="0"/>
        </right>
        <top/>
        <bottom/>
        <vertical/>
        <horizontal/>
      </border>
    </dxf>
  </dxfs>
  <tableStyles count="0" defaultTableStyle="TableStyleMedium2" defaultPivotStyle="PivotStyleLight16"/>
  <colors>
    <mruColors>
      <color rgb="FF993300"/>
      <color rgb="FFCC3A00"/>
      <color rgb="FFFFCC99"/>
      <color rgb="FFFF99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Engagement</a:t>
            </a:r>
            <a:r>
              <a:rPr lang="en-IN" baseline="0"/>
              <a:t> vs Ad Spend per Platform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'Visualize and Advise'!$H$1</c:f>
              <c:strCache>
                <c:ptCount val="1"/>
                <c:pt idx="0">
                  <c:v>Total Engagement_Rate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solidFill>
                <a:sysClr val="windowText" lastClr="000000">
                  <a:lumMod val="65000"/>
                  <a:lumOff val="3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15000"/>
                        <a:lumOff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strRef>
              <c:f>'Visualize and Advise'!$G$2:$G$8</c:f>
              <c:strCache>
                <c:ptCount val="7"/>
                <c:pt idx="0">
                  <c:v>Instagram</c:v>
                </c:pt>
                <c:pt idx="2">
                  <c:v>Facebook</c:v>
                </c:pt>
                <c:pt idx="4">
                  <c:v>Twitter</c:v>
                </c:pt>
                <c:pt idx="6">
                  <c:v>Youtube</c:v>
                </c:pt>
              </c:strCache>
            </c:strRef>
          </c:xVal>
          <c:yVal>
            <c:numRef>
              <c:f>'Visualize and Advise'!$H$2:$H$8</c:f>
              <c:numCache>
                <c:formatCode>General</c:formatCode>
                <c:ptCount val="7"/>
                <c:pt idx="0">
                  <c:v>285.78000000000003</c:v>
                </c:pt>
                <c:pt idx="2">
                  <c:v>282.43</c:v>
                </c:pt>
                <c:pt idx="4">
                  <c:v>282.79000000000002</c:v>
                </c:pt>
                <c:pt idx="6">
                  <c:v>277.94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89-4786-8874-9129A755D3DD}"/>
            </c:ext>
          </c:extLst>
        </c:ser>
        <c:ser>
          <c:idx val="1"/>
          <c:order val="1"/>
          <c:tx>
            <c:strRef>
              <c:f>'Visualize and Advise'!$I$1</c:f>
              <c:strCache>
                <c:ptCount val="1"/>
                <c:pt idx="0">
                  <c:v>Total Ad_Spend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solidFill>
                <a:sysClr val="windowText" lastClr="000000">
                  <a:lumMod val="65000"/>
                  <a:lumOff val="3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15000"/>
                        <a:lumOff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strRef>
              <c:f>'Visualize and Advise'!$G$2:$G$8</c:f>
              <c:strCache>
                <c:ptCount val="7"/>
                <c:pt idx="0">
                  <c:v>Instagram</c:v>
                </c:pt>
                <c:pt idx="2">
                  <c:v>Facebook</c:v>
                </c:pt>
                <c:pt idx="4">
                  <c:v>Twitter</c:v>
                </c:pt>
                <c:pt idx="6">
                  <c:v>Youtube</c:v>
                </c:pt>
              </c:strCache>
            </c:strRef>
          </c:xVal>
          <c:yVal>
            <c:numRef>
              <c:f>'Visualize and Advise'!$I$2:$I$8</c:f>
              <c:numCache>
                <c:formatCode>#,##0</c:formatCode>
                <c:ptCount val="7"/>
                <c:pt idx="0">
                  <c:v>1164373</c:v>
                </c:pt>
                <c:pt idx="2">
                  <c:v>1379539</c:v>
                </c:pt>
                <c:pt idx="4">
                  <c:v>1060357</c:v>
                </c:pt>
                <c:pt idx="6">
                  <c:v>1228647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89-4786-8874-9129A755D3DD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84214943"/>
        <c:axId val="184216383"/>
      </c:scatterChart>
      <c:valAx>
        <c:axId val="184214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Engagement_Rate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39458878501610528"/>
              <c:y val="0.90297314170680121"/>
            </c:manualLayout>
          </c:layout>
          <c:overlay val="0"/>
          <c:spPr>
            <a:noFill/>
            <a:ln>
              <a:solidFill>
                <a:srgbClr val="0070C0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16383"/>
        <c:crosses val="autoZero"/>
        <c:crossBetween val="midCat"/>
      </c:valAx>
      <c:valAx>
        <c:axId val="18421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Ad_Spend</a:t>
                </a:r>
                <a:endParaRPr lang="en-IN"/>
              </a:p>
            </c:rich>
          </c:tx>
          <c:overlay val="0"/>
          <c:spPr>
            <a:noFill/>
            <a:ln>
              <a:solidFill>
                <a:schemeClr val="accent2"/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14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12</xdr:col>
      <xdr:colOff>0</xdr:colOff>
      <xdr:row>14</xdr:row>
      <xdr:rowOff>7620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62C7F64-2ED9-634A-9F8A-075427E1B339}"/>
            </a:ext>
          </a:extLst>
        </xdr:cNvPr>
        <xdr:cNvSpPr txBox="1"/>
      </xdr:nvSpPr>
      <xdr:spPr>
        <a:xfrm>
          <a:off x="7147560" y="381000"/>
          <a:ext cx="3406140" cy="2202180"/>
        </a:xfrm>
        <a:prstGeom prst="rect">
          <a:avLst/>
        </a:prstGeom>
        <a:solidFill>
          <a:srgbClr val="FFCC99"/>
        </a:solidFill>
        <a:ln w="9525" cmpd="sng">
          <a:solidFill>
            <a:srgbClr val="9933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tx1"/>
              </a:solidFill>
            </a:rPr>
            <a:t>As</a:t>
          </a:r>
          <a:r>
            <a:rPr lang="en-IN" sz="1100" baseline="0">
              <a:solidFill>
                <a:schemeClr val="tx1"/>
              </a:solidFill>
            </a:rPr>
            <a:t> per the subtotal method, I have found that :-</a:t>
          </a:r>
        </a:p>
        <a:p>
          <a:endParaRPr lang="en-IN" sz="1100" baseline="0">
            <a:solidFill>
              <a:schemeClr val="tx1"/>
            </a:solidFill>
          </a:endParaRPr>
        </a:p>
        <a:p>
          <a:r>
            <a:rPr lang="en-IN" sz="1100" baseline="0">
              <a:solidFill>
                <a:schemeClr val="tx1"/>
              </a:solidFill>
            </a:rPr>
            <a:t>&lt;&gt; Facebook's engagement = 282.43</a:t>
          </a:r>
        </a:p>
        <a:p>
          <a:endParaRPr lang="en-IN" sz="1100" baseline="0">
            <a:solidFill>
              <a:schemeClr val="tx1"/>
            </a:solidFill>
          </a:endParaRPr>
        </a:p>
        <a:p>
          <a:r>
            <a:rPr lang="en-IN" sz="1100" baseline="0">
              <a:solidFill>
                <a:schemeClr val="tx1"/>
              </a:solidFill>
            </a:rPr>
            <a:t>&lt;&gt; Instagram's engagement = 285.78</a:t>
          </a:r>
        </a:p>
        <a:p>
          <a:endParaRPr lang="en-IN" sz="1100" baseline="0">
            <a:solidFill>
              <a:schemeClr val="tx1"/>
            </a:solidFill>
          </a:endParaRPr>
        </a:p>
        <a:p>
          <a:r>
            <a:rPr lang="en-IN" sz="1100" baseline="0">
              <a:solidFill>
                <a:schemeClr val="tx1"/>
              </a:solidFill>
            </a:rPr>
            <a:t>&lt;&gt; Twitter's engagement = 282.79</a:t>
          </a:r>
        </a:p>
        <a:p>
          <a:endParaRPr lang="en-IN" sz="1100" baseline="0">
            <a:solidFill>
              <a:schemeClr val="tx1"/>
            </a:solidFill>
          </a:endParaRPr>
        </a:p>
        <a:p>
          <a:r>
            <a:rPr lang="en-IN" sz="1100" baseline="0">
              <a:solidFill>
                <a:schemeClr val="tx1"/>
              </a:solidFill>
            </a:rPr>
            <a:t>&lt;&gt; Youtube's engagement = 277.94</a:t>
          </a:r>
        </a:p>
        <a:p>
          <a:endParaRPr lang="en-IN" sz="1100" baseline="0">
            <a:solidFill>
              <a:schemeClr val="tx1"/>
            </a:solidFill>
          </a:endParaRPr>
        </a:p>
        <a:p>
          <a:r>
            <a:rPr lang="en-IN" sz="1100" baseline="0">
              <a:solidFill>
                <a:schemeClr val="tx1"/>
              </a:solidFill>
            </a:rPr>
            <a:t>So, we can say that Instagram is the platform with the highest engagement.</a:t>
          </a:r>
        </a:p>
        <a:p>
          <a:endParaRPr lang="en-IN" sz="1100" baseline="0">
            <a:solidFill>
              <a:schemeClr val="tx1"/>
            </a:solidFill>
          </a:endParaRPr>
        </a:p>
        <a:p>
          <a:endParaRPr lang="en-IN" sz="1100" baseline="0">
            <a:solidFill>
              <a:schemeClr val="tx1"/>
            </a:solidFill>
          </a:endParaRPr>
        </a:p>
        <a:p>
          <a:endParaRPr lang="en-IN" sz="1100" baseline="0">
            <a:solidFill>
              <a:schemeClr val="tx1"/>
            </a:solidFill>
          </a:endParaRPr>
        </a:p>
        <a:p>
          <a:endParaRPr lang="en-IN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685800</xdr:colOff>
      <xdr:row>8</xdr:row>
      <xdr:rowOff>175260</xdr:rowOff>
    </xdr:from>
    <xdr:to>
      <xdr:col>11</xdr:col>
      <xdr:colOff>30480</xdr:colOff>
      <xdr:row>26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73C4F8-A8F9-2E01-B0F0-655FE2817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8374</xdr:colOff>
      <xdr:row>13</xdr:row>
      <xdr:rowOff>33497</xdr:rowOff>
    </xdr:from>
    <xdr:to>
      <xdr:col>18</xdr:col>
      <xdr:colOff>460549</xdr:colOff>
      <xdr:row>20</xdr:row>
      <xdr:rowOff>33495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F94E84-7B69-AF7D-84A4-E4CF01E3322F}"/>
            </a:ext>
          </a:extLst>
        </xdr:cNvPr>
        <xdr:cNvSpPr txBox="1"/>
      </xdr:nvSpPr>
      <xdr:spPr>
        <a:xfrm>
          <a:off x="10902462" y="2445101"/>
          <a:ext cx="4262175" cy="1289537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bg1"/>
              </a:solidFill>
              <a:latin typeface="+mn-lt"/>
              <a:ea typeface="+mn-ea"/>
              <a:cs typeface="+mn-cs"/>
            </a:rPr>
            <a:t>&lt;&gt; According to my analysis, Myntra</a:t>
          </a:r>
          <a:r>
            <a:rPr lang="en-IN" sz="1400" baseline="0">
              <a:solidFill>
                <a:schemeClr val="bg1"/>
              </a:solidFill>
              <a:latin typeface="+mn-lt"/>
              <a:ea typeface="+mn-ea"/>
              <a:cs typeface="+mn-cs"/>
            </a:rPr>
            <a:t> should focus on Instagram + Twitter for promos, brand campaigns and advertisements as they are getting better reach and engagement on those platforms at a relatively lower cost (Ad Spend) as compared to Facebook and Youtube.</a:t>
          </a:r>
          <a:endParaRPr lang="en-IN" sz="14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845922-2C9E-450C-9E90-C05504339801}" name="Table3" displayName="Table3" ref="I18:L25" totalsRowShown="0">
  <autoFilter ref="I18:L25" xr:uid="{44845922-2C9E-450C-9E90-C05504339801}">
    <filterColumn colId="0" hiddenButton="1"/>
    <filterColumn colId="1" hiddenButton="1"/>
    <filterColumn colId="2" hiddenButton="1"/>
    <filterColumn colId="3" hiddenButton="1"/>
  </autoFilter>
  <tableColumns count="4">
    <tableColumn id="1" xr3:uid="{111F1022-D8F7-4735-B75A-D83D0A41CD5B}" name="Platform" dataDxfId="10"/>
    <tableColumn id="2" xr3:uid="{EF5F6286-7084-4E11-83CC-1C779C404740}" name="Total New Followers" dataDxfId="9"/>
    <tableColumn id="3" xr3:uid="{D6AECACF-39F5-4AB1-98D9-A132A7A216EB}" name="Total Followers" dataDxfId="8"/>
    <tableColumn id="4" xr3:uid="{4C41886C-D5A3-48FA-A1FD-43778602E4DC}" name="Growth Rate" dataDxfId="7"/>
  </tableColumns>
  <tableStyleInfo name="TableStyleDark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23C9A5B-2253-42D8-A194-EDF35259E87B}" name="Table5" displayName="Table5" ref="G1:I8" totalsRowShown="0" headerRowDxfId="1" headerRowBorderDxfId="5" tableBorderDxfId="6" totalsRowBorderDxfId="4">
  <autoFilter ref="G1:I8" xr:uid="{423C9A5B-2253-42D8-A194-EDF35259E87B}">
    <filterColumn colId="0" hiddenButton="1"/>
    <filterColumn colId="1" hiddenButton="1"/>
    <filterColumn colId="2" hiddenButton="1"/>
  </autoFilter>
  <tableColumns count="3">
    <tableColumn id="1" xr3:uid="{9521969E-E0F9-4489-9A80-380397476D8C}" name="Platform" dataDxfId="3"/>
    <tableColumn id="2" xr3:uid="{D49D4348-1F7F-42BF-A2DE-08925CBC9167}" name="Total Engagement_Rate" dataDxfId="2"/>
    <tableColumn id="3" xr3:uid="{4B01E1A9-78AA-4D01-8D43-CB09B0A9CD97}" name="Total Ad_Spend" dataDxfId="0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2139B-2AA6-4A75-A9DC-1FB15CB9D6E4}">
  <dimension ref="A1:L206"/>
  <sheetViews>
    <sheetView zoomScaleNormal="100" workbookViewId="0">
      <selection activeCell="Q8" sqref="Q8"/>
    </sheetView>
  </sheetViews>
  <sheetFormatPr defaultRowHeight="14.4" outlineLevelRow="2" x14ac:dyDescent="0.3"/>
  <cols>
    <col min="1" max="1" width="10.5546875" customWidth="1"/>
    <col min="2" max="2" width="16" bestFit="1" customWidth="1"/>
    <col min="3" max="3" width="11.6640625" bestFit="1" customWidth="1"/>
    <col min="4" max="4" width="16.44140625" bestFit="1" customWidth="1"/>
    <col min="5" max="5" width="18.6640625" bestFit="1" customWidth="1"/>
    <col min="6" max="6" width="11.88671875" bestFit="1" customWidth="1"/>
    <col min="8" max="8" width="10.109375" customWidth="1"/>
    <col min="9" max="9" width="12.6640625" style="15" customWidth="1"/>
    <col min="10" max="10" width="17.6640625" style="16" customWidth="1"/>
    <col min="11" max="11" width="13.5546875" style="16" customWidth="1"/>
    <col min="12" max="12" width="11.21875" style="17" customWidth="1"/>
  </cols>
  <sheetData>
    <row r="1" spans="1: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outlineLevel="2" thickTop="1" x14ac:dyDescent="0.3">
      <c r="A2" s="9" t="s">
        <v>7</v>
      </c>
      <c r="B2" s="10">
        <v>1312</v>
      </c>
      <c r="C2" s="10">
        <v>310</v>
      </c>
      <c r="D2" s="10">
        <v>42654</v>
      </c>
      <c r="E2" s="10">
        <v>4.9800000000000004</v>
      </c>
      <c r="F2" s="10">
        <v>9566</v>
      </c>
    </row>
    <row r="3" spans="1:6" outlineLevel="2" x14ac:dyDescent="0.3">
      <c r="A3" s="5" t="s">
        <v>7</v>
      </c>
      <c r="B3" s="6">
        <v>1697</v>
      </c>
      <c r="C3" s="6">
        <v>414</v>
      </c>
      <c r="D3" s="6">
        <v>316555</v>
      </c>
      <c r="E3" s="6">
        <v>2.37</v>
      </c>
      <c r="F3" s="6">
        <v>7924</v>
      </c>
    </row>
    <row r="4" spans="1:6" outlineLevel="2" x14ac:dyDescent="0.3">
      <c r="A4" s="5" t="s">
        <v>7</v>
      </c>
      <c r="B4" s="6">
        <v>1753</v>
      </c>
      <c r="C4" s="6">
        <v>371</v>
      </c>
      <c r="D4" s="6">
        <v>169496</v>
      </c>
      <c r="E4" s="6">
        <v>8.11</v>
      </c>
      <c r="F4" s="6">
        <v>46670</v>
      </c>
    </row>
    <row r="5" spans="1:6" outlineLevel="2" x14ac:dyDescent="0.3">
      <c r="A5" s="5" t="s">
        <v>7</v>
      </c>
      <c r="B5" s="6">
        <v>1779</v>
      </c>
      <c r="C5" s="6">
        <v>109</v>
      </c>
      <c r="D5" s="6">
        <v>26295</v>
      </c>
      <c r="E5" s="6">
        <v>9.1199999999999992</v>
      </c>
      <c r="F5" s="6">
        <v>30635</v>
      </c>
    </row>
    <row r="6" spans="1:6" outlineLevel="2" x14ac:dyDescent="0.3">
      <c r="A6" s="5" t="s">
        <v>7</v>
      </c>
      <c r="B6" s="6">
        <v>505</v>
      </c>
      <c r="C6" s="6">
        <v>441</v>
      </c>
      <c r="D6" s="6">
        <v>220020</v>
      </c>
      <c r="E6" s="6">
        <v>4.4800000000000004</v>
      </c>
      <c r="F6" s="6">
        <v>42307</v>
      </c>
    </row>
    <row r="7" spans="1:6" outlineLevel="2" x14ac:dyDescent="0.3">
      <c r="A7" s="5" t="s">
        <v>7</v>
      </c>
      <c r="B7" s="6">
        <v>350</v>
      </c>
      <c r="C7" s="6">
        <v>41</v>
      </c>
      <c r="D7" s="6">
        <v>251694</v>
      </c>
      <c r="E7" s="6">
        <v>1.91</v>
      </c>
      <c r="F7" s="6">
        <v>38610</v>
      </c>
    </row>
    <row r="8" spans="1:6" outlineLevel="2" x14ac:dyDescent="0.3">
      <c r="A8" s="5" t="s">
        <v>7</v>
      </c>
      <c r="B8" s="6">
        <v>170</v>
      </c>
      <c r="C8" s="6">
        <v>334</v>
      </c>
      <c r="D8" s="6">
        <v>334626</v>
      </c>
      <c r="E8" s="6">
        <v>6.44</v>
      </c>
      <c r="F8" s="6">
        <v>43420</v>
      </c>
    </row>
    <row r="9" spans="1:6" outlineLevel="2" x14ac:dyDescent="0.3">
      <c r="A9" s="5" t="s">
        <v>7</v>
      </c>
      <c r="B9" s="6">
        <v>1391</v>
      </c>
      <c r="C9" s="6">
        <v>430</v>
      </c>
      <c r="D9" s="6">
        <v>295032</v>
      </c>
      <c r="E9" s="6">
        <v>7.86</v>
      </c>
      <c r="F9" s="6">
        <v>26067</v>
      </c>
    </row>
    <row r="10" spans="1:6" outlineLevel="2" x14ac:dyDescent="0.3">
      <c r="A10" s="5" t="s">
        <v>7</v>
      </c>
      <c r="B10" s="6">
        <v>160</v>
      </c>
      <c r="C10" s="6">
        <v>478</v>
      </c>
      <c r="D10" s="6">
        <v>435034</v>
      </c>
      <c r="E10" s="6">
        <v>7.73</v>
      </c>
      <c r="F10" s="6">
        <v>4839</v>
      </c>
    </row>
    <row r="11" spans="1:6" outlineLevel="2" x14ac:dyDescent="0.3">
      <c r="A11" s="5" t="s">
        <v>7</v>
      </c>
      <c r="B11" s="6">
        <v>214</v>
      </c>
      <c r="C11" s="6">
        <v>411</v>
      </c>
      <c r="D11" s="6">
        <v>125034</v>
      </c>
      <c r="E11" s="6">
        <v>6.11</v>
      </c>
      <c r="F11" s="6">
        <v>26455</v>
      </c>
    </row>
    <row r="12" spans="1:6" outlineLevel="2" x14ac:dyDescent="0.3">
      <c r="A12" s="5" t="s">
        <v>7</v>
      </c>
      <c r="B12" s="6">
        <v>1534</v>
      </c>
      <c r="C12" s="6">
        <v>200</v>
      </c>
      <c r="D12" s="6">
        <v>307612</v>
      </c>
      <c r="E12" s="6">
        <v>6.01</v>
      </c>
      <c r="F12" s="6">
        <v>37903</v>
      </c>
    </row>
    <row r="13" spans="1:6" outlineLevel="2" x14ac:dyDescent="0.3">
      <c r="A13" s="5" t="s">
        <v>7</v>
      </c>
      <c r="B13" s="6">
        <v>1078</v>
      </c>
      <c r="C13" s="6">
        <v>20</v>
      </c>
      <c r="D13" s="6">
        <v>183924</v>
      </c>
      <c r="E13" s="6">
        <v>8.84</v>
      </c>
      <c r="F13" s="6">
        <v>14203</v>
      </c>
    </row>
    <row r="14" spans="1:6" outlineLevel="2" x14ac:dyDescent="0.3">
      <c r="A14" s="5" t="s">
        <v>7</v>
      </c>
      <c r="B14" s="6">
        <v>248</v>
      </c>
      <c r="C14" s="6">
        <v>211</v>
      </c>
      <c r="D14" s="6">
        <v>379380</v>
      </c>
      <c r="E14" s="6">
        <v>9.0399999999999991</v>
      </c>
      <c r="F14" s="6">
        <v>26925</v>
      </c>
    </row>
    <row r="15" spans="1:6" outlineLevel="2" x14ac:dyDescent="0.3">
      <c r="A15" s="5" t="s">
        <v>7</v>
      </c>
      <c r="B15" s="6">
        <v>1520</v>
      </c>
      <c r="C15" s="6">
        <v>475</v>
      </c>
      <c r="D15" s="6">
        <v>496982</v>
      </c>
      <c r="E15" s="6">
        <v>6.41</v>
      </c>
      <c r="F15" s="6">
        <v>24384</v>
      </c>
    </row>
    <row r="16" spans="1:6" outlineLevel="2" x14ac:dyDescent="0.3">
      <c r="A16" s="5" t="s">
        <v>7</v>
      </c>
      <c r="B16" s="6">
        <v>1842</v>
      </c>
      <c r="C16" s="6">
        <v>414</v>
      </c>
      <c r="D16" s="6">
        <v>307524</v>
      </c>
      <c r="E16" s="6">
        <v>1.76</v>
      </c>
      <c r="F16" s="6">
        <v>40478</v>
      </c>
    </row>
    <row r="17" spans="1:12" outlineLevel="2" x14ac:dyDescent="0.3">
      <c r="A17" s="5" t="s">
        <v>7</v>
      </c>
      <c r="B17" s="6">
        <v>443</v>
      </c>
      <c r="C17" s="6">
        <v>345</v>
      </c>
      <c r="D17" s="6">
        <v>474162</v>
      </c>
      <c r="E17" s="6">
        <v>9.1999999999999993</v>
      </c>
      <c r="F17" s="6">
        <v>47462</v>
      </c>
    </row>
    <row r="18" spans="1:12" outlineLevel="2" x14ac:dyDescent="0.3">
      <c r="A18" s="5" t="s">
        <v>7</v>
      </c>
      <c r="B18" s="6">
        <v>198</v>
      </c>
      <c r="C18" s="6">
        <v>217</v>
      </c>
      <c r="D18" s="6">
        <v>239753</v>
      </c>
      <c r="E18" s="6">
        <v>7.36</v>
      </c>
      <c r="F18" s="6">
        <v>11901</v>
      </c>
      <c r="I18" s="15" t="s">
        <v>0</v>
      </c>
      <c r="J18" s="16" t="s">
        <v>15</v>
      </c>
      <c r="K18" s="16" t="s">
        <v>16</v>
      </c>
      <c r="L18" s="17" t="s">
        <v>17</v>
      </c>
    </row>
    <row r="19" spans="1:12" outlineLevel="2" x14ac:dyDescent="0.3">
      <c r="A19" s="5" t="s">
        <v>7</v>
      </c>
      <c r="B19" s="6">
        <v>250</v>
      </c>
      <c r="C19" s="6">
        <v>429</v>
      </c>
      <c r="D19" s="6">
        <v>453423</v>
      </c>
      <c r="E19" s="6">
        <v>1.77</v>
      </c>
      <c r="F19" s="6">
        <v>2315</v>
      </c>
      <c r="I19" s="15" t="s">
        <v>7</v>
      </c>
      <c r="J19" s="16">
        <f>SUMIF(A:A,"Facebook",B:B)</f>
        <v>50862</v>
      </c>
      <c r="K19" s="16">
        <f>SUMIF(A:A,"Facebook",D:D)</f>
        <v>13779621</v>
      </c>
      <c r="L19" s="17">
        <f>Table3[[#This Row],[Total New Followers]]/Table3[[#This Row],[Total Followers]]</f>
        <v>3.6911029701034593E-3</v>
      </c>
    </row>
    <row r="20" spans="1:12" outlineLevel="2" x14ac:dyDescent="0.3">
      <c r="A20" s="5" t="s">
        <v>7</v>
      </c>
      <c r="B20" s="6">
        <v>1929</v>
      </c>
      <c r="C20" s="6">
        <v>267</v>
      </c>
      <c r="D20" s="6">
        <v>379363</v>
      </c>
      <c r="E20" s="6">
        <v>1.75</v>
      </c>
      <c r="F20" s="6">
        <v>43836</v>
      </c>
    </row>
    <row r="21" spans="1:12" outlineLevel="2" x14ac:dyDescent="0.3">
      <c r="A21" s="5" t="s">
        <v>7</v>
      </c>
      <c r="B21" s="6">
        <v>643</v>
      </c>
      <c r="C21" s="6">
        <v>358</v>
      </c>
      <c r="D21" s="6">
        <v>157599</v>
      </c>
      <c r="E21" s="6">
        <v>3.88</v>
      </c>
      <c r="F21" s="6">
        <v>7285</v>
      </c>
      <c r="I21" s="15" t="s">
        <v>6</v>
      </c>
      <c r="J21" s="16">
        <f>SUMIF(A:A,"Instagram",B:B)</f>
        <v>58311</v>
      </c>
      <c r="K21" s="16">
        <f>SUMIF(A:A,"Instagram",D:D)</f>
        <v>14351986</v>
      </c>
      <c r="L21" s="17">
        <f>Table3[[#This Row],[Total New Followers]]/Table3[[#This Row],[Total Followers]]</f>
        <v>4.0629220234746606E-3</v>
      </c>
    </row>
    <row r="22" spans="1:12" outlineLevel="2" x14ac:dyDescent="0.3">
      <c r="A22" s="5" t="s">
        <v>7</v>
      </c>
      <c r="B22" s="6">
        <v>508</v>
      </c>
      <c r="C22" s="6">
        <v>69</v>
      </c>
      <c r="D22" s="6">
        <v>23492</v>
      </c>
      <c r="E22" s="6">
        <v>3.16</v>
      </c>
      <c r="F22" s="6">
        <v>42824</v>
      </c>
    </row>
    <row r="23" spans="1:12" outlineLevel="2" x14ac:dyDescent="0.3">
      <c r="A23" s="5" t="s">
        <v>7</v>
      </c>
      <c r="B23" s="6">
        <v>859</v>
      </c>
      <c r="C23" s="6">
        <v>473</v>
      </c>
      <c r="D23" s="6">
        <v>209987</v>
      </c>
      <c r="E23" s="6">
        <v>4.46</v>
      </c>
      <c r="F23" s="6">
        <v>30214</v>
      </c>
      <c r="I23" s="15" t="s">
        <v>8</v>
      </c>
      <c r="J23" s="16">
        <f>SUMIF(A:A,"Twitter",B:B)</f>
        <v>53484</v>
      </c>
      <c r="K23" s="16">
        <f>SUMIF(A:A,"Twitter",D:D)</f>
        <v>13226601</v>
      </c>
      <c r="L23" s="17">
        <f>Table3[[#This Row],[Total New Followers]]/Table3[[#This Row],[Total Followers]]</f>
        <v>4.0436692692249502E-3</v>
      </c>
    </row>
    <row r="24" spans="1:12" outlineLevel="2" x14ac:dyDescent="0.3">
      <c r="A24" s="5" t="s">
        <v>7</v>
      </c>
      <c r="B24" s="6">
        <v>947</v>
      </c>
      <c r="C24" s="6">
        <v>407</v>
      </c>
      <c r="D24" s="6">
        <v>319186</v>
      </c>
      <c r="E24" s="6">
        <v>3.32</v>
      </c>
      <c r="F24" s="6">
        <v>4996</v>
      </c>
    </row>
    <row r="25" spans="1:12" outlineLevel="2" x14ac:dyDescent="0.3">
      <c r="A25" s="5" t="s">
        <v>7</v>
      </c>
      <c r="B25" s="6">
        <v>171</v>
      </c>
      <c r="C25" s="6">
        <v>277</v>
      </c>
      <c r="D25" s="6">
        <v>309483</v>
      </c>
      <c r="E25" s="6">
        <v>8.6999999999999993</v>
      </c>
      <c r="F25" s="6">
        <v>38452</v>
      </c>
      <c r="I25" s="15" t="s">
        <v>18</v>
      </c>
      <c r="J25" s="16">
        <f>SUMIF(A:A,"Youtube",B:B)</f>
        <v>47471</v>
      </c>
      <c r="K25" s="16">
        <f>SUMIF(A:A,"Youtube",D:D)</f>
        <v>11527814</v>
      </c>
      <c r="L25" s="17">
        <f>Table3[[#This Row],[Total New Followers]]/Table3[[#This Row],[Total Followers]]</f>
        <v>4.1179533257562967E-3</v>
      </c>
    </row>
    <row r="26" spans="1:12" outlineLevel="2" x14ac:dyDescent="0.3">
      <c r="A26" s="5" t="s">
        <v>7</v>
      </c>
      <c r="B26" s="6">
        <v>513</v>
      </c>
      <c r="C26" s="6">
        <v>441</v>
      </c>
      <c r="D26" s="6">
        <v>338847</v>
      </c>
      <c r="E26" s="6">
        <v>2.68</v>
      </c>
      <c r="F26" s="6">
        <v>39997</v>
      </c>
    </row>
    <row r="27" spans="1:12" outlineLevel="2" x14ac:dyDescent="0.3">
      <c r="A27" s="5" t="s">
        <v>7</v>
      </c>
      <c r="B27" s="6">
        <v>1710</v>
      </c>
      <c r="C27" s="6">
        <v>378</v>
      </c>
      <c r="D27" s="6">
        <v>336661</v>
      </c>
      <c r="E27" s="6">
        <v>6.2</v>
      </c>
      <c r="F27" s="6">
        <v>28498</v>
      </c>
    </row>
    <row r="28" spans="1:12" outlineLevel="2" x14ac:dyDescent="0.3">
      <c r="A28" s="5" t="s">
        <v>7</v>
      </c>
      <c r="B28" s="6">
        <v>1902</v>
      </c>
      <c r="C28" s="6">
        <v>196</v>
      </c>
      <c r="D28" s="6">
        <v>470269</v>
      </c>
      <c r="E28" s="6">
        <v>4.79</v>
      </c>
      <c r="F28" s="6">
        <v>26103</v>
      </c>
    </row>
    <row r="29" spans="1:12" outlineLevel="2" x14ac:dyDescent="0.3">
      <c r="A29" s="5" t="s">
        <v>7</v>
      </c>
      <c r="B29" s="6">
        <v>1514</v>
      </c>
      <c r="C29" s="6">
        <v>141</v>
      </c>
      <c r="D29" s="6">
        <v>35842</v>
      </c>
      <c r="E29" s="6">
        <v>7.47</v>
      </c>
      <c r="F29" s="6">
        <v>18601</v>
      </c>
    </row>
    <row r="30" spans="1:12" outlineLevel="2" x14ac:dyDescent="0.3">
      <c r="A30" s="5" t="s">
        <v>7</v>
      </c>
      <c r="B30" s="6">
        <v>1623</v>
      </c>
      <c r="C30" s="6">
        <v>246</v>
      </c>
      <c r="D30" s="6">
        <v>415815</v>
      </c>
      <c r="E30" s="6">
        <v>8.11</v>
      </c>
      <c r="F30" s="6">
        <v>18656</v>
      </c>
    </row>
    <row r="31" spans="1:12" outlineLevel="2" x14ac:dyDescent="0.3">
      <c r="A31" s="5" t="s">
        <v>7</v>
      </c>
      <c r="B31" s="6">
        <v>1155</v>
      </c>
      <c r="C31" s="6">
        <v>425</v>
      </c>
      <c r="D31" s="6">
        <v>93347</v>
      </c>
      <c r="E31" s="6">
        <v>2.02</v>
      </c>
      <c r="F31" s="6">
        <v>47502</v>
      </c>
    </row>
    <row r="32" spans="1:12" outlineLevel="2" x14ac:dyDescent="0.3">
      <c r="A32" s="5" t="s">
        <v>7</v>
      </c>
      <c r="B32" s="6">
        <v>1980</v>
      </c>
      <c r="C32" s="6">
        <v>204</v>
      </c>
      <c r="D32" s="6">
        <v>379431</v>
      </c>
      <c r="E32" s="6">
        <v>3.09</v>
      </c>
      <c r="F32" s="6">
        <v>25140</v>
      </c>
    </row>
    <row r="33" spans="1:6" outlineLevel="2" x14ac:dyDescent="0.3">
      <c r="A33" s="5" t="s">
        <v>7</v>
      </c>
      <c r="B33" s="6">
        <v>816</v>
      </c>
      <c r="C33" s="6">
        <v>196</v>
      </c>
      <c r="D33" s="6">
        <v>95728</v>
      </c>
      <c r="E33" s="6">
        <v>8.1999999999999993</v>
      </c>
      <c r="F33" s="6">
        <v>17951</v>
      </c>
    </row>
    <row r="34" spans="1:6" outlineLevel="2" x14ac:dyDescent="0.3">
      <c r="A34" s="5" t="s">
        <v>7</v>
      </c>
      <c r="B34" s="6">
        <v>651</v>
      </c>
      <c r="C34" s="6">
        <v>353</v>
      </c>
      <c r="D34" s="6">
        <v>224699</v>
      </c>
      <c r="E34" s="6">
        <v>5.61</v>
      </c>
      <c r="F34" s="6">
        <v>45708</v>
      </c>
    </row>
    <row r="35" spans="1:6" outlineLevel="2" x14ac:dyDescent="0.3">
      <c r="A35" s="5" t="s">
        <v>7</v>
      </c>
      <c r="B35" s="6">
        <v>663</v>
      </c>
      <c r="C35" s="6">
        <v>236</v>
      </c>
      <c r="D35" s="6">
        <v>479490</v>
      </c>
      <c r="E35" s="6">
        <v>4.51</v>
      </c>
      <c r="F35" s="6">
        <v>23853</v>
      </c>
    </row>
    <row r="36" spans="1:6" outlineLevel="2" x14ac:dyDescent="0.3">
      <c r="A36" s="5" t="s">
        <v>7</v>
      </c>
      <c r="B36" s="6">
        <v>1249</v>
      </c>
      <c r="C36" s="6">
        <v>351</v>
      </c>
      <c r="D36" s="6">
        <v>321307</v>
      </c>
      <c r="E36" s="6">
        <v>6.37</v>
      </c>
      <c r="F36" s="6">
        <v>20560</v>
      </c>
    </row>
    <row r="37" spans="1:6" outlineLevel="2" x14ac:dyDescent="0.3">
      <c r="A37" s="5" t="s">
        <v>7</v>
      </c>
      <c r="B37" s="6">
        <v>1159</v>
      </c>
      <c r="C37" s="6">
        <v>411</v>
      </c>
      <c r="D37" s="6">
        <v>135987</v>
      </c>
      <c r="E37" s="6">
        <v>8.6999999999999993</v>
      </c>
      <c r="F37" s="6">
        <v>40323</v>
      </c>
    </row>
    <row r="38" spans="1:6" outlineLevel="2" x14ac:dyDescent="0.3">
      <c r="A38" s="5" t="s">
        <v>7</v>
      </c>
      <c r="B38" s="6">
        <v>1294</v>
      </c>
      <c r="C38" s="6">
        <v>382</v>
      </c>
      <c r="D38" s="6">
        <v>309914</v>
      </c>
      <c r="E38" s="6">
        <v>8.0299999999999994</v>
      </c>
      <c r="F38" s="6">
        <v>23489</v>
      </c>
    </row>
    <row r="39" spans="1:6" outlineLevel="2" x14ac:dyDescent="0.3">
      <c r="A39" s="5" t="s">
        <v>7</v>
      </c>
      <c r="B39" s="6">
        <v>1895</v>
      </c>
      <c r="C39" s="6">
        <v>305</v>
      </c>
      <c r="D39" s="6">
        <v>104967</v>
      </c>
      <c r="E39" s="6">
        <v>3.85</v>
      </c>
      <c r="F39" s="6">
        <v>31853</v>
      </c>
    </row>
    <row r="40" spans="1:6" outlineLevel="2" x14ac:dyDescent="0.3">
      <c r="A40" s="5" t="s">
        <v>7</v>
      </c>
      <c r="B40" s="6">
        <v>1884</v>
      </c>
      <c r="C40" s="6">
        <v>177</v>
      </c>
      <c r="D40" s="6">
        <v>230448</v>
      </c>
      <c r="E40" s="6">
        <v>7.8</v>
      </c>
      <c r="F40" s="6">
        <v>22713</v>
      </c>
    </row>
    <row r="41" spans="1:6" outlineLevel="2" x14ac:dyDescent="0.3">
      <c r="A41" s="5" t="s">
        <v>7</v>
      </c>
      <c r="B41" s="6">
        <v>345</v>
      </c>
      <c r="C41" s="6">
        <v>464</v>
      </c>
      <c r="D41" s="6">
        <v>366881</v>
      </c>
      <c r="E41" s="6">
        <v>4.55</v>
      </c>
      <c r="F41" s="6">
        <v>20553</v>
      </c>
    </row>
    <row r="42" spans="1:6" outlineLevel="2" x14ac:dyDescent="0.3">
      <c r="A42" s="5" t="s">
        <v>7</v>
      </c>
      <c r="B42" s="6">
        <v>1098</v>
      </c>
      <c r="C42" s="6">
        <v>190</v>
      </c>
      <c r="D42" s="6">
        <v>340842</v>
      </c>
      <c r="E42" s="6">
        <v>9.39</v>
      </c>
      <c r="F42" s="6">
        <v>21539</v>
      </c>
    </row>
    <row r="43" spans="1:6" outlineLevel="2" x14ac:dyDescent="0.3">
      <c r="A43" s="5" t="s">
        <v>7</v>
      </c>
      <c r="B43" s="6">
        <v>1358</v>
      </c>
      <c r="C43" s="6">
        <v>242</v>
      </c>
      <c r="D43" s="6">
        <v>342129</v>
      </c>
      <c r="E43" s="6">
        <v>4.9400000000000004</v>
      </c>
      <c r="F43" s="6">
        <v>29116</v>
      </c>
    </row>
    <row r="44" spans="1:6" outlineLevel="2" x14ac:dyDescent="0.3">
      <c r="A44" s="5" t="s">
        <v>7</v>
      </c>
      <c r="B44" s="6">
        <v>609</v>
      </c>
      <c r="C44" s="6">
        <v>135</v>
      </c>
      <c r="D44" s="6">
        <v>373606</v>
      </c>
      <c r="E44" s="6">
        <v>8.52</v>
      </c>
      <c r="F44" s="6">
        <v>21453</v>
      </c>
    </row>
    <row r="45" spans="1:6" outlineLevel="2" x14ac:dyDescent="0.3">
      <c r="A45" s="5" t="s">
        <v>7</v>
      </c>
      <c r="B45" s="6">
        <v>988</v>
      </c>
      <c r="C45" s="6">
        <v>474</v>
      </c>
      <c r="D45" s="6">
        <v>370070</v>
      </c>
      <c r="E45" s="6">
        <v>9.4600000000000009</v>
      </c>
      <c r="F45" s="6">
        <v>23461</v>
      </c>
    </row>
    <row r="46" spans="1:6" outlineLevel="2" x14ac:dyDescent="0.3">
      <c r="A46" s="5" t="s">
        <v>7</v>
      </c>
      <c r="B46" s="6">
        <v>1307</v>
      </c>
      <c r="C46" s="6">
        <v>278</v>
      </c>
      <c r="D46" s="6">
        <v>98596</v>
      </c>
      <c r="E46" s="6">
        <v>2.4900000000000002</v>
      </c>
      <c r="F46" s="6">
        <v>47603</v>
      </c>
    </row>
    <row r="47" spans="1:6" outlineLevel="2" x14ac:dyDescent="0.3">
      <c r="A47" s="5" t="s">
        <v>7</v>
      </c>
      <c r="B47" s="6">
        <v>198</v>
      </c>
      <c r="C47" s="6">
        <v>373</v>
      </c>
      <c r="D47" s="6">
        <v>70707</v>
      </c>
      <c r="E47" s="6">
        <v>4.83</v>
      </c>
      <c r="F47" s="6">
        <v>25920</v>
      </c>
    </row>
    <row r="48" spans="1:6" outlineLevel="2" x14ac:dyDescent="0.3">
      <c r="A48" s="5" t="s">
        <v>7</v>
      </c>
      <c r="B48" s="6">
        <v>1375</v>
      </c>
      <c r="C48" s="6">
        <v>330</v>
      </c>
      <c r="D48" s="6">
        <v>377382</v>
      </c>
      <c r="E48" s="6">
        <v>2.6</v>
      </c>
      <c r="F48" s="6">
        <v>7875</v>
      </c>
    </row>
    <row r="49" spans="1:6" outlineLevel="2" x14ac:dyDescent="0.3">
      <c r="A49" s="5" t="s">
        <v>7</v>
      </c>
      <c r="B49" s="6">
        <v>833</v>
      </c>
      <c r="C49" s="6">
        <v>380</v>
      </c>
      <c r="D49" s="6">
        <v>224830</v>
      </c>
      <c r="E49" s="6">
        <v>3.86</v>
      </c>
      <c r="F49" s="6">
        <v>3582</v>
      </c>
    </row>
    <row r="50" spans="1:6" outlineLevel="2" x14ac:dyDescent="0.3">
      <c r="A50" s="5" t="s">
        <v>7</v>
      </c>
      <c r="B50" s="6">
        <v>405</v>
      </c>
      <c r="C50" s="6">
        <v>66</v>
      </c>
      <c r="D50" s="6">
        <v>418696</v>
      </c>
      <c r="E50" s="6">
        <v>5.59</v>
      </c>
      <c r="F50" s="6">
        <v>48419</v>
      </c>
    </row>
    <row r="51" spans="1:6" outlineLevel="2" x14ac:dyDescent="0.3">
      <c r="A51" s="5" t="s">
        <v>7</v>
      </c>
      <c r="B51" s="6">
        <v>837</v>
      </c>
      <c r="C51" s="6">
        <v>430</v>
      </c>
      <c r="D51" s="6">
        <v>364820</v>
      </c>
      <c r="E51" s="6">
        <v>4</v>
      </c>
      <c r="F51" s="6">
        <v>49400</v>
      </c>
    </row>
    <row r="52" spans="1:6" outlineLevel="1" x14ac:dyDescent="0.3">
      <c r="A52" s="12" t="s">
        <v>11</v>
      </c>
      <c r="B52" s="6"/>
      <c r="C52" s="6"/>
      <c r="D52" s="6"/>
      <c r="E52" s="6">
        <f>SUBTOTAL(9,E2:E51)</f>
        <v>282.43</v>
      </c>
      <c r="F52" s="6"/>
    </row>
    <row r="53" spans="1:6" outlineLevel="2" x14ac:dyDescent="0.3">
      <c r="A53" s="7" t="s">
        <v>6</v>
      </c>
      <c r="B53" s="8">
        <v>1135</v>
      </c>
      <c r="C53" s="8">
        <v>88</v>
      </c>
      <c r="D53" s="8">
        <v>344084</v>
      </c>
      <c r="E53" s="8">
        <v>8.06</v>
      </c>
      <c r="F53" s="8">
        <v>5904</v>
      </c>
    </row>
    <row r="54" spans="1:6" outlineLevel="2" x14ac:dyDescent="0.3">
      <c r="A54" s="7" t="s">
        <v>6</v>
      </c>
      <c r="B54" s="8">
        <v>656</v>
      </c>
      <c r="C54" s="8">
        <v>139</v>
      </c>
      <c r="D54" s="8">
        <v>49157</v>
      </c>
      <c r="E54" s="8">
        <v>9.0500000000000007</v>
      </c>
      <c r="F54" s="8">
        <v>9920</v>
      </c>
    </row>
    <row r="55" spans="1:6" outlineLevel="2" x14ac:dyDescent="0.3">
      <c r="A55" s="7" t="s">
        <v>6</v>
      </c>
      <c r="B55" s="8">
        <v>1048</v>
      </c>
      <c r="C55" s="8">
        <v>155</v>
      </c>
      <c r="D55" s="8">
        <v>456946</v>
      </c>
      <c r="E55" s="8">
        <v>2.46</v>
      </c>
      <c r="F55" s="8">
        <v>11329</v>
      </c>
    </row>
    <row r="56" spans="1:6" outlineLevel="2" x14ac:dyDescent="0.3">
      <c r="A56" s="7" t="s">
        <v>6</v>
      </c>
      <c r="B56" s="8">
        <v>911</v>
      </c>
      <c r="C56" s="8">
        <v>282</v>
      </c>
      <c r="D56" s="8">
        <v>35664</v>
      </c>
      <c r="E56" s="8">
        <v>6.92</v>
      </c>
      <c r="F56" s="8">
        <v>18050</v>
      </c>
    </row>
    <row r="57" spans="1:6" outlineLevel="2" x14ac:dyDescent="0.3">
      <c r="A57" s="7" t="s">
        <v>6</v>
      </c>
      <c r="B57" s="8">
        <v>226</v>
      </c>
      <c r="C57" s="8">
        <v>445</v>
      </c>
      <c r="D57" s="8">
        <v>419447</v>
      </c>
      <c r="E57" s="8">
        <v>9.36</v>
      </c>
      <c r="F57" s="8">
        <v>9566</v>
      </c>
    </row>
    <row r="58" spans="1:6" outlineLevel="2" x14ac:dyDescent="0.3">
      <c r="A58" s="7" t="s">
        <v>6</v>
      </c>
      <c r="B58" s="8">
        <v>1757</v>
      </c>
      <c r="C58" s="8">
        <v>85</v>
      </c>
      <c r="D58" s="8">
        <v>58223</v>
      </c>
      <c r="E58" s="8">
        <v>8.74</v>
      </c>
      <c r="F58" s="8">
        <v>22728</v>
      </c>
    </row>
    <row r="59" spans="1:6" outlineLevel="2" x14ac:dyDescent="0.3">
      <c r="A59" s="7" t="s">
        <v>6</v>
      </c>
      <c r="B59" s="8">
        <v>1960</v>
      </c>
      <c r="C59" s="8">
        <v>115</v>
      </c>
      <c r="D59" s="8">
        <v>154169</v>
      </c>
      <c r="E59" s="8">
        <v>3.74</v>
      </c>
      <c r="F59" s="8">
        <v>10740</v>
      </c>
    </row>
    <row r="60" spans="1:6" outlineLevel="2" x14ac:dyDescent="0.3">
      <c r="A60" s="7" t="s">
        <v>6</v>
      </c>
      <c r="B60" s="8">
        <v>508</v>
      </c>
      <c r="C60" s="8">
        <v>349</v>
      </c>
      <c r="D60" s="8">
        <v>473812</v>
      </c>
      <c r="E60" s="8">
        <v>7.88</v>
      </c>
      <c r="F60" s="8">
        <v>17328</v>
      </c>
    </row>
    <row r="61" spans="1:6" outlineLevel="2" x14ac:dyDescent="0.3">
      <c r="A61" s="7" t="s">
        <v>6</v>
      </c>
      <c r="B61" s="8">
        <v>653</v>
      </c>
      <c r="C61" s="8">
        <v>112</v>
      </c>
      <c r="D61" s="8">
        <v>23664</v>
      </c>
      <c r="E61" s="8">
        <v>4.05</v>
      </c>
      <c r="F61" s="8">
        <v>15353</v>
      </c>
    </row>
    <row r="62" spans="1:6" outlineLevel="2" x14ac:dyDescent="0.3">
      <c r="A62" s="7" t="s">
        <v>6</v>
      </c>
      <c r="B62" s="8">
        <v>645</v>
      </c>
      <c r="C62" s="8">
        <v>293</v>
      </c>
      <c r="D62" s="8">
        <v>437968</v>
      </c>
      <c r="E62" s="8">
        <v>7.83</v>
      </c>
      <c r="F62" s="8">
        <v>49303</v>
      </c>
    </row>
    <row r="63" spans="1:6" outlineLevel="2" x14ac:dyDescent="0.3">
      <c r="A63" s="7" t="s">
        <v>6</v>
      </c>
      <c r="B63" s="8">
        <v>1528</v>
      </c>
      <c r="C63" s="8">
        <v>203</v>
      </c>
      <c r="D63" s="8">
        <v>489188</v>
      </c>
      <c r="E63" s="8">
        <v>6.23</v>
      </c>
      <c r="F63" s="8">
        <v>47101</v>
      </c>
    </row>
    <row r="64" spans="1:6" outlineLevel="2" x14ac:dyDescent="0.3">
      <c r="A64" s="7" t="s">
        <v>6</v>
      </c>
      <c r="B64" s="8">
        <v>215</v>
      </c>
      <c r="C64" s="8">
        <v>139</v>
      </c>
      <c r="D64" s="8">
        <v>325444</v>
      </c>
      <c r="E64" s="8">
        <v>3.25</v>
      </c>
      <c r="F64" s="8">
        <v>35501</v>
      </c>
    </row>
    <row r="65" spans="1:6" outlineLevel="2" x14ac:dyDescent="0.3">
      <c r="A65" s="7" t="s">
        <v>6</v>
      </c>
      <c r="B65" s="8">
        <v>1685</v>
      </c>
      <c r="C65" s="8">
        <v>76</v>
      </c>
      <c r="D65" s="8">
        <v>453799</v>
      </c>
      <c r="E65" s="8">
        <v>5.71</v>
      </c>
      <c r="F65" s="8">
        <v>24913</v>
      </c>
    </row>
    <row r="66" spans="1:6" outlineLevel="2" x14ac:dyDescent="0.3">
      <c r="A66" s="7" t="s">
        <v>6</v>
      </c>
      <c r="B66" s="8">
        <v>1429</v>
      </c>
      <c r="C66" s="8">
        <v>182</v>
      </c>
      <c r="D66" s="8">
        <v>101332</v>
      </c>
      <c r="E66" s="8">
        <v>7.16</v>
      </c>
      <c r="F66" s="8">
        <v>37829</v>
      </c>
    </row>
    <row r="67" spans="1:6" outlineLevel="2" x14ac:dyDescent="0.3">
      <c r="A67" s="7" t="s">
        <v>6</v>
      </c>
      <c r="B67" s="8">
        <v>1592</v>
      </c>
      <c r="C67" s="8">
        <v>20</v>
      </c>
      <c r="D67" s="8">
        <v>378054</v>
      </c>
      <c r="E67" s="8">
        <v>9.09</v>
      </c>
      <c r="F67" s="8">
        <v>26663</v>
      </c>
    </row>
    <row r="68" spans="1:6" outlineLevel="2" x14ac:dyDescent="0.3">
      <c r="A68" s="7" t="s">
        <v>6</v>
      </c>
      <c r="B68" s="8">
        <v>778</v>
      </c>
      <c r="C68" s="8">
        <v>401</v>
      </c>
      <c r="D68" s="8">
        <v>50793</v>
      </c>
      <c r="E68" s="8">
        <v>3.4</v>
      </c>
      <c r="F68" s="8">
        <v>21939</v>
      </c>
    </row>
    <row r="69" spans="1:6" outlineLevel="2" x14ac:dyDescent="0.3">
      <c r="A69" s="7" t="s">
        <v>6</v>
      </c>
      <c r="B69" s="8">
        <v>817</v>
      </c>
      <c r="C69" s="8">
        <v>151</v>
      </c>
      <c r="D69" s="8">
        <v>422625</v>
      </c>
      <c r="E69" s="8">
        <v>2.36</v>
      </c>
      <c r="F69" s="8">
        <v>1083</v>
      </c>
    </row>
    <row r="70" spans="1:6" outlineLevel="2" x14ac:dyDescent="0.3">
      <c r="A70" s="7" t="s">
        <v>6</v>
      </c>
      <c r="B70" s="8">
        <v>1433</v>
      </c>
      <c r="C70" s="8">
        <v>408</v>
      </c>
      <c r="D70" s="8">
        <v>370269</v>
      </c>
      <c r="E70" s="8">
        <v>3.3</v>
      </c>
      <c r="F70" s="8">
        <v>30575</v>
      </c>
    </row>
    <row r="71" spans="1:6" outlineLevel="2" x14ac:dyDescent="0.3">
      <c r="A71" s="7" t="s">
        <v>6</v>
      </c>
      <c r="B71" s="8">
        <v>1939</v>
      </c>
      <c r="C71" s="8">
        <v>67</v>
      </c>
      <c r="D71" s="8">
        <v>187183</v>
      </c>
      <c r="E71" s="8">
        <v>6.25</v>
      </c>
      <c r="F71" s="8">
        <v>41215</v>
      </c>
    </row>
    <row r="72" spans="1:6" outlineLevel="2" x14ac:dyDescent="0.3">
      <c r="A72" s="7" t="s">
        <v>6</v>
      </c>
      <c r="B72" s="8">
        <v>1527</v>
      </c>
      <c r="C72" s="8">
        <v>303</v>
      </c>
      <c r="D72" s="8">
        <v>388555</v>
      </c>
      <c r="E72" s="8">
        <v>8.9</v>
      </c>
      <c r="F72" s="8">
        <v>36397</v>
      </c>
    </row>
    <row r="73" spans="1:6" outlineLevel="2" x14ac:dyDescent="0.3">
      <c r="A73" s="7" t="s">
        <v>6</v>
      </c>
      <c r="B73" s="8">
        <v>703</v>
      </c>
      <c r="C73" s="8">
        <v>441</v>
      </c>
      <c r="D73" s="8">
        <v>357089</v>
      </c>
      <c r="E73" s="8">
        <v>6.5</v>
      </c>
      <c r="F73" s="8">
        <v>32478</v>
      </c>
    </row>
    <row r="74" spans="1:6" outlineLevel="2" x14ac:dyDescent="0.3">
      <c r="A74" s="7" t="s">
        <v>6</v>
      </c>
      <c r="B74" s="8">
        <v>642</v>
      </c>
      <c r="C74" s="8">
        <v>66</v>
      </c>
      <c r="D74" s="8">
        <v>346522</v>
      </c>
      <c r="E74" s="8">
        <v>5.85</v>
      </c>
      <c r="F74" s="8">
        <v>13116</v>
      </c>
    </row>
    <row r="75" spans="1:6" outlineLevel="2" x14ac:dyDescent="0.3">
      <c r="A75" s="7" t="s">
        <v>6</v>
      </c>
      <c r="B75" s="8">
        <v>1466</v>
      </c>
      <c r="C75" s="8">
        <v>69</v>
      </c>
      <c r="D75" s="8">
        <v>54935</v>
      </c>
      <c r="E75" s="8">
        <v>6.85</v>
      </c>
      <c r="F75" s="8">
        <v>36484</v>
      </c>
    </row>
    <row r="76" spans="1:6" outlineLevel="2" x14ac:dyDescent="0.3">
      <c r="A76" s="7" t="s">
        <v>6</v>
      </c>
      <c r="B76" s="8">
        <v>1075</v>
      </c>
      <c r="C76" s="8">
        <v>173</v>
      </c>
      <c r="D76" s="8">
        <v>51395</v>
      </c>
      <c r="E76" s="8">
        <v>4.66</v>
      </c>
      <c r="F76" s="8">
        <v>47812</v>
      </c>
    </row>
    <row r="77" spans="1:6" outlineLevel="2" x14ac:dyDescent="0.3">
      <c r="A77" s="7" t="s">
        <v>6</v>
      </c>
      <c r="B77" s="8">
        <v>187</v>
      </c>
      <c r="C77" s="8">
        <v>236</v>
      </c>
      <c r="D77" s="8">
        <v>51087</v>
      </c>
      <c r="E77" s="8">
        <v>9.41</v>
      </c>
      <c r="F77" s="8">
        <v>29533</v>
      </c>
    </row>
    <row r="78" spans="1:6" outlineLevel="2" x14ac:dyDescent="0.3">
      <c r="A78" s="7" t="s">
        <v>6</v>
      </c>
      <c r="B78" s="8">
        <v>1854</v>
      </c>
      <c r="C78" s="8">
        <v>161</v>
      </c>
      <c r="D78" s="8">
        <v>282466</v>
      </c>
      <c r="E78" s="8">
        <v>5.17</v>
      </c>
      <c r="F78" s="8">
        <v>1810</v>
      </c>
    </row>
    <row r="79" spans="1:6" outlineLevel="2" x14ac:dyDescent="0.3">
      <c r="A79" s="7" t="s">
        <v>6</v>
      </c>
      <c r="B79" s="8">
        <v>1696</v>
      </c>
      <c r="C79" s="8">
        <v>71</v>
      </c>
      <c r="D79" s="8">
        <v>421957</v>
      </c>
      <c r="E79" s="8">
        <v>3.79</v>
      </c>
      <c r="F79" s="8">
        <v>36103</v>
      </c>
    </row>
    <row r="80" spans="1:6" outlineLevel="2" x14ac:dyDescent="0.3">
      <c r="A80" s="7" t="s">
        <v>6</v>
      </c>
      <c r="B80" s="8">
        <v>1494</v>
      </c>
      <c r="C80" s="8">
        <v>375</v>
      </c>
      <c r="D80" s="8">
        <v>220616</v>
      </c>
      <c r="E80" s="8">
        <v>1.81</v>
      </c>
      <c r="F80" s="8">
        <v>22724</v>
      </c>
    </row>
    <row r="81" spans="1:6" outlineLevel="2" x14ac:dyDescent="0.3">
      <c r="A81" s="7" t="s">
        <v>6</v>
      </c>
      <c r="B81" s="8">
        <v>1502</v>
      </c>
      <c r="C81" s="8">
        <v>70</v>
      </c>
      <c r="D81" s="8">
        <v>465553</v>
      </c>
      <c r="E81" s="8">
        <v>3.32</v>
      </c>
      <c r="F81" s="8">
        <v>20692</v>
      </c>
    </row>
    <row r="82" spans="1:6" outlineLevel="2" x14ac:dyDescent="0.3">
      <c r="A82" s="7" t="s">
        <v>6</v>
      </c>
      <c r="B82" s="8">
        <v>1092</v>
      </c>
      <c r="C82" s="8">
        <v>408</v>
      </c>
      <c r="D82" s="8">
        <v>280795</v>
      </c>
      <c r="E82" s="8">
        <v>8.44</v>
      </c>
      <c r="F82" s="8">
        <v>4683</v>
      </c>
    </row>
    <row r="83" spans="1:6" outlineLevel="2" x14ac:dyDescent="0.3">
      <c r="A83" s="7" t="s">
        <v>6</v>
      </c>
      <c r="B83" s="8">
        <v>1814</v>
      </c>
      <c r="C83" s="8">
        <v>49</v>
      </c>
      <c r="D83" s="8">
        <v>140804</v>
      </c>
      <c r="E83" s="8">
        <v>1.76</v>
      </c>
      <c r="F83" s="8">
        <v>4313</v>
      </c>
    </row>
    <row r="84" spans="1:6" outlineLevel="2" x14ac:dyDescent="0.3">
      <c r="A84" s="7" t="s">
        <v>6</v>
      </c>
      <c r="B84" s="8">
        <v>1013</v>
      </c>
      <c r="C84" s="8">
        <v>110</v>
      </c>
      <c r="D84" s="8">
        <v>466382</v>
      </c>
      <c r="E84" s="8">
        <v>5.3</v>
      </c>
      <c r="F84" s="8">
        <v>37132</v>
      </c>
    </row>
    <row r="85" spans="1:6" outlineLevel="2" x14ac:dyDescent="0.3">
      <c r="A85" s="7" t="s">
        <v>6</v>
      </c>
      <c r="B85" s="8">
        <v>1855</v>
      </c>
      <c r="C85" s="8">
        <v>133</v>
      </c>
      <c r="D85" s="8">
        <v>349413</v>
      </c>
      <c r="E85" s="8">
        <v>3.3</v>
      </c>
      <c r="F85" s="8">
        <v>14548</v>
      </c>
    </row>
    <row r="86" spans="1:6" outlineLevel="2" x14ac:dyDescent="0.3">
      <c r="A86" s="7" t="s">
        <v>6</v>
      </c>
      <c r="B86" s="8">
        <v>1748</v>
      </c>
      <c r="C86" s="8">
        <v>176</v>
      </c>
      <c r="D86" s="8">
        <v>383681</v>
      </c>
      <c r="E86" s="8">
        <v>9.24</v>
      </c>
      <c r="F86" s="8">
        <v>43122</v>
      </c>
    </row>
    <row r="87" spans="1:6" outlineLevel="2" x14ac:dyDescent="0.3">
      <c r="A87" s="7" t="s">
        <v>6</v>
      </c>
      <c r="B87" s="8">
        <v>115</v>
      </c>
      <c r="C87" s="8">
        <v>281</v>
      </c>
      <c r="D87" s="8">
        <v>357265</v>
      </c>
      <c r="E87" s="8">
        <v>9.23</v>
      </c>
      <c r="F87" s="8">
        <v>25525</v>
      </c>
    </row>
    <row r="88" spans="1:6" outlineLevel="2" x14ac:dyDescent="0.3">
      <c r="A88" s="7" t="s">
        <v>6</v>
      </c>
      <c r="B88" s="8">
        <v>1556</v>
      </c>
      <c r="C88" s="8">
        <v>476</v>
      </c>
      <c r="D88" s="8">
        <v>351556</v>
      </c>
      <c r="E88" s="8">
        <v>3.89</v>
      </c>
      <c r="F88" s="8">
        <v>10825</v>
      </c>
    </row>
    <row r="89" spans="1:6" outlineLevel="2" x14ac:dyDescent="0.3">
      <c r="A89" s="7" t="s">
        <v>6</v>
      </c>
      <c r="B89" s="8">
        <v>1957</v>
      </c>
      <c r="C89" s="8">
        <v>234</v>
      </c>
      <c r="D89" s="8">
        <v>222126</v>
      </c>
      <c r="E89" s="8">
        <v>4.6100000000000003</v>
      </c>
      <c r="F89" s="8">
        <v>3314</v>
      </c>
    </row>
    <row r="90" spans="1:6" outlineLevel="2" x14ac:dyDescent="0.3">
      <c r="A90" s="7" t="s">
        <v>6</v>
      </c>
      <c r="B90" s="8">
        <v>1138</v>
      </c>
      <c r="C90" s="8">
        <v>173</v>
      </c>
      <c r="D90" s="8">
        <v>453243</v>
      </c>
      <c r="E90" s="8">
        <v>2.86</v>
      </c>
      <c r="F90" s="8">
        <v>44097</v>
      </c>
    </row>
    <row r="91" spans="1:6" outlineLevel="2" x14ac:dyDescent="0.3">
      <c r="A91" s="7" t="s">
        <v>6</v>
      </c>
      <c r="B91" s="8">
        <v>1440</v>
      </c>
      <c r="C91" s="8">
        <v>65</v>
      </c>
      <c r="D91" s="8">
        <v>126524</v>
      </c>
      <c r="E91" s="8">
        <v>4.34</v>
      </c>
      <c r="F91" s="8">
        <v>49772</v>
      </c>
    </row>
    <row r="92" spans="1:6" outlineLevel="2" x14ac:dyDescent="0.3">
      <c r="A92" s="7" t="s">
        <v>6</v>
      </c>
      <c r="B92" s="8">
        <v>1371</v>
      </c>
      <c r="C92" s="8">
        <v>56</v>
      </c>
      <c r="D92" s="8">
        <v>257579</v>
      </c>
      <c r="E92" s="8">
        <v>8.6199999999999992</v>
      </c>
      <c r="F92" s="8">
        <v>33799</v>
      </c>
    </row>
    <row r="93" spans="1:6" outlineLevel="2" x14ac:dyDescent="0.3">
      <c r="A93" s="7" t="s">
        <v>6</v>
      </c>
      <c r="B93" s="8">
        <v>393</v>
      </c>
      <c r="C93" s="8">
        <v>181</v>
      </c>
      <c r="D93" s="8">
        <v>462142</v>
      </c>
      <c r="E93" s="8">
        <v>7.23</v>
      </c>
      <c r="F93" s="8">
        <v>6296</v>
      </c>
    </row>
    <row r="94" spans="1:6" outlineLevel="2" x14ac:dyDescent="0.3">
      <c r="A94" s="7" t="s">
        <v>6</v>
      </c>
      <c r="B94" s="8">
        <v>1102</v>
      </c>
      <c r="C94" s="8">
        <v>422</v>
      </c>
      <c r="D94" s="8">
        <v>410330</v>
      </c>
      <c r="E94" s="8">
        <v>7.74</v>
      </c>
      <c r="F94" s="8">
        <v>9480</v>
      </c>
    </row>
    <row r="95" spans="1:6" outlineLevel="2" x14ac:dyDescent="0.3">
      <c r="A95" s="7" t="s">
        <v>6</v>
      </c>
      <c r="B95" s="8">
        <v>490</v>
      </c>
      <c r="C95" s="8">
        <v>29</v>
      </c>
      <c r="D95" s="8">
        <v>364810</v>
      </c>
      <c r="E95" s="8">
        <v>1.53</v>
      </c>
      <c r="F95" s="8">
        <v>49077</v>
      </c>
    </row>
    <row r="96" spans="1:6" outlineLevel="2" x14ac:dyDescent="0.3">
      <c r="A96" s="7" t="s">
        <v>6</v>
      </c>
      <c r="B96" s="8">
        <v>1033</v>
      </c>
      <c r="C96" s="8">
        <v>392</v>
      </c>
      <c r="D96" s="8">
        <v>282780</v>
      </c>
      <c r="E96" s="8">
        <v>6.27</v>
      </c>
      <c r="F96" s="8">
        <v>23140</v>
      </c>
    </row>
    <row r="97" spans="1:6" outlineLevel="2" x14ac:dyDescent="0.3">
      <c r="A97" s="7" t="s">
        <v>6</v>
      </c>
      <c r="B97" s="8">
        <v>559</v>
      </c>
      <c r="C97" s="8">
        <v>392</v>
      </c>
      <c r="D97" s="8">
        <v>78789</v>
      </c>
      <c r="E97" s="8">
        <v>3.19</v>
      </c>
      <c r="F97" s="8">
        <v>2436</v>
      </c>
    </row>
    <row r="98" spans="1:6" outlineLevel="2" x14ac:dyDescent="0.3">
      <c r="A98" s="7" t="s">
        <v>6</v>
      </c>
      <c r="B98" s="8">
        <v>198</v>
      </c>
      <c r="C98" s="8">
        <v>358</v>
      </c>
      <c r="D98" s="8">
        <v>66682</v>
      </c>
      <c r="E98" s="8">
        <v>6.73</v>
      </c>
      <c r="F98" s="8">
        <v>2293</v>
      </c>
    </row>
    <row r="99" spans="1:6" outlineLevel="2" x14ac:dyDescent="0.3">
      <c r="A99" s="7" t="s">
        <v>6</v>
      </c>
      <c r="B99" s="8">
        <v>961</v>
      </c>
      <c r="C99" s="8">
        <v>358</v>
      </c>
      <c r="D99" s="8">
        <v>62942</v>
      </c>
      <c r="E99" s="8">
        <v>6.8</v>
      </c>
      <c r="F99" s="8">
        <v>18693</v>
      </c>
    </row>
    <row r="100" spans="1:6" outlineLevel="2" x14ac:dyDescent="0.3">
      <c r="A100" s="7" t="s">
        <v>6</v>
      </c>
      <c r="B100" s="8">
        <v>1693</v>
      </c>
      <c r="C100" s="8">
        <v>154</v>
      </c>
      <c r="D100" s="8">
        <v>445944</v>
      </c>
      <c r="E100" s="8">
        <v>5.69</v>
      </c>
      <c r="F100" s="8">
        <v>14216</v>
      </c>
    </row>
    <row r="101" spans="1:6" outlineLevel="2" x14ac:dyDescent="0.3">
      <c r="A101" s="7" t="s">
        <v>6</v>
      </c>
      <c r="B101" s="8">
        <v>1957</v>
      </c>
      <c r="C101" s="8">
        <v>76</v>
      </c>
      <c r="D101" s="8">
        <v>447902</v>
      </c>
      <c r="E101" s="8">
        <v>6.09</v>
      </c>
      <c r="F101" s="8">
        <v>33381</v>
      </c>
    </row>
    <row r="102" spans="1:6" outlineLevel="2" x14ac:dyDescent="0.3">
      <c r="A102" s="7" t="s">
        <v>6</v>
      </c>
      <c r="B102" s="8">
        <v>1765</v>
      </c>
      <c r="C102" s="8">
        <v>109</v>
      </c>
      <c r="D102" s="8">
        <v>468301</v>
      </c>
      <c r="E102" s="8">
        <v>1.82</v>
      </c>
      <c r="F102" s="8">
        <v>20042</v>
      </c>
    </row>
    <row r="103" spans="1:6" outlineLevel="1" x14ac:dyDescent="0.3">
      <c r="A103" s="13" t="s">
        <v>12</v>
      </c>
      <c r="B103" s="8"/>
      <c r="C103" s="8"/>
      <c r="D103" s="8"/>
      <c r="E103" s="8">
        <f>SUBTOTAL(9,E53:E102)</f>
        <v>285.78000000000003</v>
      </c>
      <c r="F103" s="8"/>
    </row>
    <row r="104" spans="1:6" outlineLevel="2" x14ac:dyDescent="0.3">
      <c r="A104" s="7" t="s">
        <v>8</v>
      </c>
      <c r="B104" s="8">
        <v>584</v>
      </c>
      <c r="C104" s="8">
        <v>169</v>
      </c>
      <c r="D104" s="8">
        <v>146834</v>
      </c>
      <c r="E104" s="8">
        <v>8.31</v>
      </c>
      <c r="F104" s="8">
        <v>26752</v>
      </c>
    </row>
    <row r="105" spans="1:6" outlineLevel="2" x14ac:dyDescent="0.3">
      <c r="A105" s="7" t="s">
        <v>8</v>
      </c>
      <c r="B105" s="8">
        <v>436</v>
      </c>
      <c r="C105" s="8">
        <v>250</v>
      </c>
      <c r="D105" s="8">
        <v>254347</v>
      </c>
      <c r="E105" s="8">
        <v>4.01</v>
      </c>
      <c r="F105" s="8">
        <v>8912</v>
      </c>
    </row>
    <row r="106" spans="1:6" outlineLevel="2" x14ac:dyDescent="0.3">
      <c r="A106" s="7" t="s">
        <v>8</v>
      </c>
      <c r="B106" s="8">
        <v>1335</v>
      </c>
      <c r="C106" s="8">
        <v>40</v>
      </c>
      <c r="D106" s="8">
        <v>122732</v>
      </c>
      <c r="E106" s="8">
        <v>8.19</v>
      </c>
      <c r="F106" s="8">
        <v>22482</v>
      </c>
    </row>
    <row r="107" spans="1:6" outlineLevel="2" x14ac:dyDescent="0.3">
      <c r="A107" s="7" t="s">
        <v>8</v>
      </c>
      <c r="B107" s="8">
        <v>1238</v>
      </c>
      <c r="C107" s="8">
        <v>403</v>
      </c>
      <c r="D107" s="8">
        <v>298421</v>
      </c>
      <c r="E107" s="8">
        <v>3.5</v>
      </c>
      <c r="F107" s="8">
        <v>31280</v>
      </c>
    </row>
    <row r="108" spans="1:6" outlineLevel="2" x14ac:dyDescent="0.3">
      <c r="A108" s="7" t="s">
        <v>8</v>
      </c>
      <c r="B108" s="8">
        <v>1420</v>
      </c>
      <c r="C108" s="8">
        <v>63</v>
      </c>
      <c r="D108" s="8">
        <v>315305</v>
      </c>
      <c r="E108" s="8">
        <v>6.19</v>
      </c>
      <c r="F108" s="8">
        <v>5914</v>
      </c>
    </row>
    <row r="109" spans="1:6" outlineLevel="2" x14ac:dyDescent="0.3">
      <c r="A109" s="7" t="s">
        <v>8</v>
      </c>
      <c r="B109" s="8">
        <v>987</v>
      </c>
      <c r="C109" s="8">
        <v>440</v>
      </c>
      <c r="D109" s="8">
        <v>389810</v>
      </c>
      <c r="E109" s="8">
        <v>4.66</v>
      </c>
      <c r="F109" s="8">
        <v>2932</v>
      </c>
    </row>
    <row r="110" spans="1:6" outlineLevel="2" x14ac:dyDescent="0.3">
      <c r="A110" s="7" t="s">
        <v>8</v>
      </c>
      <c r="B110" s="8">
        <v>704</v>
      </c>
      <c r="C110" s="8">
        <v>275</v>
      </c>
      <c r="D110" s="8">
        <v>226002</v>
      </c>
      <c r="E110" s="8">
        <v>8.56</v>
      </c>
      <c r="F110" s="8">
        <v>32393</v>
      </c>
    </row>
    <row r="111" spans="1:6" outlineLevel="2" x14ac:dyDescent="0.3">
      <c r="A111" s="7" t="s">
        <v>8</v>
      </c>
      <c r="B111" s="8">
        <v>1701</v>
      </c>
      <c r="C111" s="8">
        <v>385</v>
      </c>
      <c r="D111" s="8">
        <v>198278</v>
      </c>
      <c r="E111" s="8">
        <v>5.34</v>
      </c>
      <c r="F111" s="8">
        <v>32763</v>
      </c>
    </row>
    <row r="112" spans="1:6" outlineLevel="2" x14ac:dyDescent="0.3">
      <c r="A112" s="7" t="s">
        <v>8</v>
      </c>
      <c r="B112" s="8">
        <v>1756</v>
      </c>
      <c r="C112" s="8">
        <v>261</v>
      </c>
      <c r="D112" s="8">
        <v>287574</v>
      </c>
      <c r="E112" s="8">
        <v>4.3600000000000003</v>
      </c>
      <c r="F112" s="8">
        <v>39272</v>
      </c>
    </row>
    <row r="113" spans="1:6" outlineLevel="2" x14ac:dyDescent="0.3">
      <c r="A113" s="7" t="s">
        <v>8</v>
      </c>
      <c r="B113" s="8">
        <v>826</v>
      </c>
      <c r="C113" s="8">
        <v>498</v>
      </c>
      <c r="D113" s="8">
        <v>449994</v>
      </c>
      <c r="E113" s="8">
        <v>9.43</v>
      </c>
      <c r="F113" s="8">
        <v>12384</v>
      </c>
    </row>
    <row r="114" spans="1:6" outlineLevel="2" x14ac:dyDescent="0.3">
      <c r="A114" s="7" t="s">
        <v>8</v>
      </c>
      <c r="B114" s="8">
        <v>485</v>
      </c>
      <c r="C114" s="8">
        <v>448</v>
      </c>
      <c r="D114" s="8">
        <v>434883</v>
      </c>
      <c r="E114" s="8">
        <v>8.5500000000000007</v>
      </c>
      <c r="F114" s="8">
        <v>33258</v>
      </c>
    </row>
    <row r="115" spans="1:6" outlineLevel="2" x14ac:dyDescent="0.3">
      <c r="A115" s="7" t="s">
        <v>8</v>
      </c>
      <c r="B115" s="8">
        <v>1751</v>
      </c>
      <c r="C115" s="8">
        <v>86</v>
      </c>
      <c r="D115" s="8">
        <v>188655</v>
      </c>
      <c r="E115" s="8">
        <v>7.24</v>
      </c>
      <c r="F115" s="8">
        <v>22206</v>
      </c>
    </row>
    <row r="116" spans="1:6" outlineLevel="2" x14ac:dyDescent="0.3">
      <c r="A116" s="7" t="s">
        <v>8</v>
      </c>
      <c r="B116" s="8">
        <v>1300</v>
      </c>
      <c r="C116" s="8">
        <v>71</v>
      </c>
      <c r="D116" s="8">
        <v>186454</v>
      </c>
      <c r="E116" s="8">
        <v>3.91</v>
      </c>
      <c r="F116" s="8">
        <v>9942</v>
      </c>
    </row>
    <row r="117" spans="1:6" outlineLevel="2" x14ac:dyDescent="0.3">
      <c r="A117" s="7" t="s">
        <v>8</v>
      </c>
      <c r="B117" s="8">
        <v>557</v>
      </c>
      <c r="C117" s="8">
        <v>360</v>
      </c>
      <c r="D117" s="8">
        <v>318779</v>
      </c>
      <c r="E117" s="8">
        <v>8.02</v>
      </c>
      <c r="F117" s="8">
        <v>25797</v>
      </c>
    </row>
    <row r="118" spans="1:6" outlineLevel="2" x14ac:dyDescent="0.3">
      <c r="A118" s="7" t="s">
        <v>8</v>
      </c>
      <c r="B118" s="8">
        <v>751</v>
      </c>
      <c r="C118" s="8">
        <v>491</v>
      </c>
      <c r="D118" s="8">
        <v>434047</v>
      </c>
      <c r="E118" s="8">
        <v>9.24</v>
      </c>
      <c r="F118" s="8">
        <v>15476</v>
      </c>
    </row>
    <row r="119" spans="1:6" outlineLevel="2" x14ac:dyDescent="0.3">
      <c r="A119" s="7" t="s">
        <v>8</v>
      </c>
      <c r="B119" s="8">
        <v>1472</v>
      </c>
      <c r="C119" s="8">
        <v>347</v>
      </c>
      <c r="D119" s="8">
        <v>392355</v>
      </c>
      <c r="E119" s="8">
        <v>8.59</v>
      </c>
      <c r="F119" s="8">
        <v>30270</v>
      </c>
    </row>
    <row r="120" spans="1:6" outlineLevel="2" x14ac:dyDescent="0.3">
      <c r="A120" s="7" t="s">
        <v>8</v>
      </c>
      <c r="B120" s="8">
        <v>1911</v>
      </c>
      <c r="C120" s="8">
        <v>231</v>
      </c>
      <c r="D120" s="8">
        <v>268516</v>
      </c>
      <c r="E120" s="8">
        <v>8.5500000000000007</v>
      </c>
      <c r="F120" s="8">
        <v>24018</v>
      </c>
    </row>
    <row r="121" spans="1:6" outlineLevel="2" x14ac:dyDescent="0.3">
      <c r="A121" s="7" t="s">
        <v>8</v>
      </c>
      <c r="B121" s="8">
        <v>752</v>
      </c>
      <c r="C121" s="8">
        <v>153</v>
      </c>
      <c r="D121" s="8">
        <v>64906</v>
      </c>
      <c r="E121" s="8">
        <v>2.09</v>
      </c>
      <c r="F121" s="8">
        <v>12148</v>
      </c>
    </row>
    <row r="122" spans="1:6" outlineLevel="2" x14ac:dyDescent="0.3">
      <c r="A122" s="7" t="s">
        <v>8</v>
      </c>
      <c r="B122" s="8">
        <v>437</v>
      </c>
      <c r="C122" s="8">
        <v>330</v>
      </c>
      <c r="D122" s="8">
        <v>476486</v>
      </c>
      <c r="E122" s="8">
        <v>4.97</v>
      </c>
      <c r="F122" s="8">
        <v>4509</v>
      </c>
    </row>
    <row r="123" spans="1:6" outlineLevel="2" x14ac:dyDescent="0.3">
      <c r="A123" s="7" t="s">
        <v>8</v>
      </c>
      <c r="B123" s="8">
        <v>201</v>
      </c>
      <c r="C123" s="8">
        <v>221</v>
      </c>
      <c r="D123" s="8">
        <v>309772</v>
      </c>
      <c r="E123" s="8">
        <v>5.9</v>
      </c>
      <c r="F123" s="8">
        <v>33174</v>
      </c>
    </row>
    <row r="124" spans="1:6" outlineLevel="2" x14ac:dyDescent="0.3">
      <c r="A124" s="7" t="s">
        <v>8</v>
      </c>
      <c r="B124" s="8">
        <v>697</v>
      </c>
      <c r="C124" s="8">
        <v>61</v>
      </c>
      <c r="D124" s="8">
        <v>258287</v>
      </c>
      <c r="E124" s="8">
        <v>8.25</v>
      </c>
      <c r="F124" s="8">
        <v>21208</v>
      </c>
    </row>
    <row r="125" spans="1:6" outlineLevel="2" x14ac:dyDescent="0.3">
      <c r="A125" s="7" t="s">
        <v>8</v>
      </c>
      <c r="B125" s="8">
        <v>191</v>
      </c>
      <c r="C125" s="8">
        <v>154</v>
      </c>
      <c r="D125" s="8">
        <v>240550</v>
      </c>
      <c r="E125" s="8">
        <v>5.22</v>
      </c>
      <c r="F125" s="8">
        <v>15827</v>
      </c>
    </row>
    <row r="126" spans="1:6" outlineLevel="2" x14ac:dyDescent="0.3">
      <c r="A126" s="7" t="s">
        <v>8</v>
      </c>
      <c r="B126" s="8">
        <v>1821</v>
      </c>
      <c r="C126" s="8">
        <v>218</v>
      </c>
      <c r="D126" s="8">
        <v>439080</v>
      </c>
      <c r="E126" s="8">
        <v>5.68</v>
      </c>
      <c r="F126" s="8">
        <v>36095</v>
      </c>
    </row>
    <row r="127" spans="1:6" outlineLevel="2" x14ac:dyDescent="0.3">
      <c r="A127" s="7" t="s">
        <v>8</v>
      </c>
      <c r="B127" s="8">
        <v>1487</v>
      </c>
      <c r="C127" s="8">
        <v>337</v>
      </c>
      <c r="D127" s="8">
        <v>87305</v>
      </c>
      <c r="E127" s="8">
        <v>2.46</v>
      </c>
      <c r="F127" s="8">
        <v>30428</v>
      </c>
    </row>
    <row r="128" spans="1:6" outlineLevel="2" x14ac:dyDescent="0.3">
      <c r="A128" s="7" t="s">
        <v>8</v>
      </c>
      <c r="B128" s="8">
        <v>628</v>
      </c>
      <c r="C128" s="8">
        <v>183</v>
      </c>
      <c r="D128" s="8">
        <v>487523</v>
      </c>
      <c r="E128" s="8">
        <v>7.32</v>
      </c>
      <c r="F128" s="8">
        <v>5391</v>
      </c>
    </row>
    <row r="129" spans="1:6" outlineLevel="2" x14ac:dyDescent="0.3">
      <c r="A129" s="7" t="s">
        <v>8</v>
      </c>
      <c r="B129" s="8">
        <v>330</v>
      </c>
      <c r="C129" s="8">
        <v>232</v>
      </c>
      <c r="D129" s="8">
        <v>88455</v>
      </c>
      <c r="E129" s="8">
        <v>2.69</v>
      </c>
      <c r="F129" s="8">
        <v>39530</v>
      </c>
    </row>
    <row r="130" spans="1:6" outlineLevel="2" x14ac:dyDescent="0.3">
      <c r="A130" s="7" t="s">
        <v>8</v>
      </c>
      <c r="B130" s="8">
        <v>1441</v>
      </c>
      <c r="C130" s="8">
        <v>268</v>
      </c>
      <c r="D130" s="8">
        <v>309904</v>
      </c>
      <c r="E130" s="8">
        <v>6.37</v>
      </c>
      <c r="F130" s="8">
        <v>3455</v>
      </c>
    </row>
    <row r="131" spans="1:6" outlineLevel="2" x14ac:dyDescent="0.3">
      <c r="A131" s="7" t="s">
        <v>8</v>
      </c>
      <c r="B131" s="8">
        <v>1937</v>
      </c>
      <c r="C131" s="8">
        <v>210</v>
      </c>
      <c r="D131" s="8">
        <v>20607</v>
      </c>
      <c r="E131" s="8">
        <v>4.2</v>
      </c>
      <c r="F131" s="8">
        <v>20861</v>
      </c>
    </row>
    <row r="132" spans="1:6" outlineLevel="2" x14ac:dyDescent="0.3">
      <c r="A132" s="7" t="s">
        <v>8</v>
      </c>
      <c r="B132" s="8">
        <v>1592</v>
      </c>
      <c r="C132" s="8">
        <v>233</v>
      </c>
      <c r="D132" s="8">
        <v>327183</v>
      </c>
      <c r="E132" s="8">
        <v>6.66</v>
      </c>
      <c r="F132" s="8">
        <v>13316</v>
      </c>
    </row>
    <row r="133" spans="1:6" outlineLevel="2" x14ac:dyDescent="0.3">
      <c r="A133" s="7" t="s">
        <v>8</v>
      </c>
      <c r="B133" s="8">
        <v>1137</v>
      </c>
      <c r="C133" s="8">
        <v>226</v>
      </c>
      <c r="D133" s="8">
        <v>81119</v>
      </c>
      <c r="E133" s="8">
        <v>7.74</v>
      </c>
      <c r="F133" s="8">
        <v>35359</v>
      </c>
    </row>
    <row r="134" spans="1:6" outlineLevel="2" x14ac:dyDescent="0.3">
      <c r="A134" s="7" t="s">
        <v>8</v>
      </c>
      <c r="B134" s="8">
        <v>1786</v>
      </c>
      <c r="C134" s="8">
        <v>257</v>
      </c>
      <c r="D134" s="8">
        <v>274831</v>
      </c>
      <c r="E134" s="8">
        <v>4.68</v>
      </c>
      <c r="F134" s="8">
        <v>9118</v>
      </c>
    </row>
    <row r="135" spans="1:6" outlineLevel="2" x14ac:dyDescent="0.3">
      <c r="A135" s="7" t="s">
        <v>8</v>
      </c>
      <c r="B135" s="8">
        <v>1633</v>
      </c>
      <c r="C135" s="8">
        <v>445</v>
      </c>
      <c r="D135" s="8">
        <v>371156</v>
      </c>
      <c r="E135" s="8">
        <v>2.2200000000000002</v>
      </c>
      <c r="F135" s="8">
        <v>2798</v>
      </c>
    </row>
    <row r="136" spans="1:6" outlineLevel="2" x14ac:dyDescent="0.3">
      <c r="A136" s="7" t="s">
        <v>8</v>
      </c>
      <c r="B136" s="8">
        <v>118</v>
      </c>
      <c r="C136" s="8">
        <v>262</v>
      </c>
      <c r="D136" s="8">
        <v>487896</v>
      </c>
      <c r="E136" s="8">
        <v>2.56</v>
      </c>
      <c r="F136" s="8">
        <v>12350</v>
      </c>
    </row>
    <row r="137" spans="1:6" outlineLevel="2" x14ac:dyDescent="0.3">
      <c r="A137" s="7" t="s">
        <v>8</v>
      </c>
      <c r="B137" s="8">
        <v>1040</v>
      </c>
      <c r="C137" s="8">
        <v>149</v>
      </c>
      <c r="D137" s="8">
        <v>124404</v>
      </c>
      <c r="E137" s="8">
        <v>5.23</v>
      </c>
      <c r="F137" s="8">
        <v>45380</v>
      </c>
    </row>
    <row r="138" spans="1:6" outlineLevel="2" x14ac:dyDescent="0.3">
      <c r="A138" s="7" t="s">
        <v>8</v>
      </c>
      <c r="B138" s="8">
        <v>1501</v>
      </c>
      <c r="C138" s="8">
        <v>75</v>
      </c>
      <c r="D138" s="8">
        <v>262569</v>
      </c>
      <c r="E138" s="8">
        <v>2.0099999999999998</v>
      </c>
      <c r="F138" s="8">
        <v>19119</v>
      </c>
    </row>
    <row r="139" spans="1:6" outlineLevel="2" x14ac:dyDescent="0.3">
      <c r="A139" s="7" t="s">
        <v>8</v>
      </c>
      <c r="B139" s="8">
        <v>927</v>
      </c>
      <c r="C139" s="8">
        <v>358</v>
      </c>
      <c r="D139" s="8">
        <v>177554</v>
      </c>
      <c r="E139" s="8">
        <v>6.95</v>
      </c>
      <c r="F139" s="8">
        <v>48270</v>
      </c>
    </row>
    <row r="140" spans="1:6" outlineLevel="2" x14ac:dyDescent="0.3">
      <c r="A140" s="7" t="s">
        <v>8</v>
      </c>
      <c r="B140" s="8">
        <v>1587</v>
      </c>
      <c r="C140" s="8">
        <v>385</v>
      </c>
      <c r="D140" s="8">
        <v>126582</v>
      </c>
      <c r="E140" s="8">
        <v>6.99</v>
      </c>
      <c r="F140" s="8">
        <v>42832</v>
      </c>
    </row>
    <row r="141" spans="1:6" outlineLevel="2" x14ac:dyDescent="0.3">
      <c r="A141" s="7" t="s">
        <v>8</v>
      </c>
      <c r="B141" s="8">
        <v>362</v>
      </c>
      <c r="C141" s="8">
        <v>399</v>
      </c>
      <c r="D141" s="8">
        <v>145608</v>
      </c>
      <c r="E141" s="8">
        <v>7.3</v>
      </c>
      <c r="F141" s="8">
        <v>37636</v>
      </c>
    </row>
    <row r="142" spans="1:6" outlineLevel="2" x14ac:dyDescent="0.3">
      <c r="A142" s="7" t="s">
        <v>8</v>
      </c>
      <c r="B142" s="8">
        <v>861</v>
      </c>
      <c r="C142" s="8">
        <v>153</v>
      </c>
      <c r="D142" s="8">
        <v>317007</v>
      </c>
      <c r="E142" s="8">
        <v>3.85</v>
      </c>
      <c r="F142" s="8">
        <v>8718</v>
      </c>
    </row>
    <row r="143" spans="1:6" outlineLevel="2" x14ac:dyDescent="0.3">
      <c r="A143" s="7" t="s">
        <v>8</v>
      </c>
      <c r="B143" s="8">
        <v>946</v>
      </c>
      <c r="C143" s="8">
        <v>47</v>
      </c>
      <c r="D143" s="8">
        <v>466575</v>
      </c>
      <c r="E143" s="8">
        <v>8.33</v>
      </c>
      <c r="F143" s="8">
        <v>10002</v>
      </c>
    </row>
    <row r="144" spans="1:6" outlineLevel="2" x14ac:dyDescent="0.3">
      <c r="A144" s="7" t="s">
        <v>8</v>
      </c>
      <c r="B144" s="8">
        <v>1399</v>
      </c>
      <c r="C144" s="8">
        <v>49</v>
      </c>
      <c r="D144" s="8">
        <v>12471</v>
      </c>
      <c r="E144" s="8">
        <v>5.12</v>
      </c>
      <c r="F144" s="8">
        <v>14722</v>
      </c>
    </row>
    <row r="145" spans="1:6" outlineLevel="2" x14ac:dyDescent="0.3">
      <c r="A145" s="7" t="s">
        <v>8</v>
      </c>
      <c r="B145" s="8">
        <v>1077</v>
      </c>
      <c r="C145" s="8">
        <v>216</v>
      </c>
      <c r="D145" s="8">
        <v>12447</v>
      </c>
      <c r="E145" s="8">
        <v>1.8</v>
      </c>
      <c r="F145" s="8">
        <v>14068</v>
      </c>
    </row>
    <row r="146" spans="1:6" outlineLevel="2" x14ac:dyDescent="0.3">
      <c r="A146" s="7" t="s">
        <v>8</v>
      </c>
      <c r="B146" s="8">
        <v>364</v>
      </c>
      <c r="C146" s="8">
        <v>72</v>
      </c>
      <c r="D146" s="8">
        <v>211090</v>
      </c>
      <c r="E146" s="8">
        <v>5.53</v>
      </c>
      <c r="F146" s="8">
        <v>21061</v>
      </c>
    </row>
    <row r="147" spans="1:6" outlineLevel="2" x14ac:dyDescent="0.3">
      <c r="A147" s="7" t="s">
        <v>8</v>
      </c>
      <c r="B147" s="8">
        <v>1946</v>
      </c>
      <c r="C147" s="8">
        <v>270</v>
      </c>
      <c r="D147" s="8">
        <v>198350</v>
      </c>
      <c r="E147" s="8">
        <v>7.5</v>
      </c>
      <c r="F147" s="8">
        <v>11805</v>
      </c>
    </row>
    <row r="148" spans="1:6" outlineLevel="2" x14ac:dyDescent="0.3">
      <c r="A148" s="7" t="s">
        <v>8</v>
      </c>
      <c r="B148" s="8">
        <v>1432</v>
      </c>
      <c r="C148" s="8">
        <v>425</v>
      </c>
      <c r="D148" s="8">
        <v>29589</v>
      </c>
      <c r="E148" s="8">
        <v>4.5</v>
      </c>
      <c r="F148" s="8">
        <v>42964</v>
      </c>
    </row>
    <row r="149" spans="1:6" outlineLevel="2" x14ac:dyDescent="0.3">
      <c r="A149" s="7" t="s">
        <v>8</v>
      </c>
      <c r="B149" s="8">
        <v>353</v>
      </c>
      <c r="C149" s="8">
        <v>300</v>
      </c>
      <c r="D149" s="8">
        <v>142507</v>
      </c>
      <c r="E149" s="8">
        <v>5.3</v>
      </c>
      <c r="F149" s="8">
        <v>11035</v>
      </c>
    </row>
    <row r="150" spans="1:6" outlineLevel="2" x14ac:dyDescent="0.3">
      <c r="A150" s="7" t="s">
        <v>8</v>
      </c>
      <c r="B150" s="8">
        <v>1147</v>
      </c>
      <c r="C150" s="8">
        <v>388</v>
      </c>
      <c r="D150" s="8">
        <v>333851</v>
      </c>
      <c r="E150" s="8">
        <v>2.44</v>
      </c>
      <c r="F150" s="8">
        <v>8471</v>
      </c>
    </row>
    <row r="151" spans="1:6" outlineLevel="2" x14ac:dyDescent="0.3">
      <c r="A151" s="7" t="s">
        <v>8</v>
      </c>
      <c r="B151" s="8">
        <v>1222</v>
      </c>
      <c r="C151" s="8">
        <v>274</v>
      </c>
      <c r="D151" s="8">
        <v>487289</v>
      </c>
      <c r="E151" s="8">
        <v>3.16</v>
      </c>
      <c r="F151" s="8">
        <v>32500</v>
      </c>
    </row>
    <row r="152" spans="1:6" outlineLevel="2" x14ac:dyDescent="0.3">
      <c r="A152" s="7" t="s">
        <v>8</v>
      </c>
      <c r="B152" s="8">
        <v>1581</v>
      </c>
      <c r="C152" s="8">
        <v>71</v>
      </c>
      <c r="D152" s="8">
        <v>484364</v>
      </c>
      <c r="E152" s="8">
        <v>3.55</v>
      </c>
      <c r="F152" s="8">
        <v>16149</v>
      </c>
    </row>
    <row r="153" spans="1:6" outlineLevel="2" x14ac:dyDescent="0.3">
      <c r="A153" s="7" t="s">
        <v>8</v>
      </c>
      <c r="B153" s="8">
        <v>337</v>
      </c>
      <c r="C153" s="8">
        <v>68</v>
      </c>
      <c r="D153" s="8">
        <v>456298</v>
      </c>
      <c r="E153" s="8">
        <v>7.57</v>
      </c>
      <c r="F153" s="8">
        <v>4007</v>
      </c>
    </row>
    <row r="154" spans="1:6" outlineLevel="1" x14ac:dyDescent="0.3">
      <c r="A154" s="13" t="s">
        <v>13</v>
      </c>
      <c r="B154" s="8"/>
      <c r="C154" s="8"/>
      <c r="D154" s="8"/>
      <c r="E154" s="8">
        <f>SUBTOTAL(9,E104:E153)</f>
        <v>282.79000000000002</v>
      </c>
      <c r="F154" s="8"/>
    </row>
    <row r="155" spans="1:6" outlineLevel="2" x14ac:dyDescent="0.3">
      <c r="A155" s="5" t="s">
        <v>9</v>
      </c>
      <c r="B155" s="6">
        <v>1535</v>
      </c>
      <c r="C155" s="6">
        <v>445</v>
      </c>
      <c r="D155" s="6">
        <v>395536</v>
      </c>
      <c r="E155" s="6">
        <v>4.1100000000000003</v>
      </c>
      <c r="F155" s="6">
        <v>30671</v>
      </c>
    </row>
    <row r="156" spans="1:6" outlineLevel="2" x14ac:dyDescent="0.3">
      <c r="A156" s="5" t="s">
        <v>9</v>
      </c>
      <c r="B156" s="6">
        <v>1197</v>
      </c>
      <c r="C156" s="6">
        <v>203</v>
      </c>
      <c r="D156" s="6">
        <v>413878</v>
      </c>
      <c r="E156" s="6">
        <v>3.16</v>
      </c>
      <c r="F156" s="6">
        <v>21205</v>
      </c>
    </row>
    <row r="157" spans="1:6" outlineLevel="2" x14ac:dyDescent="0.3">
      <c r="A157" s="5" t="s">
        <v>9</v>
      </c>
      <c r="B157" s="6">
        <v>403</v>
      </c>
      <c r="C157" s="6">
        <v>66</v>
      </c>
      <c r="D157" s="6">
        <v>382851</v>
      </c>
      <c r="E157" s="6">
        <v>3.49</v>
      </c>
      <c r="F157" s="6">
        <v>24313</v>
      </c>
    </row>
    <row r="158" spans="1:6" outlineLevel="2" x14ac:dyDescent="0.3">
      <c r="A158" s="5" t="s">
        <v>9</v>
      </c>
      <c r="B158" s="6">
        <v>308</v>
      </c>
      <c r="C158" s="6">
        <v>431</v>
      </c>
      <c r="D158" s="6">
        <v>426184</v>
      </c>
      <c r="E158" s="6">
        <v>2.62</v>
      </c>
      <c r="F158" s="6">
        <v>1783</v>
      </c>
    </row>
    <row r="159" spans="1:6" outlineLevel="2" x14ac:dyDescent="0.3">
      <c r="A159" s="5" t="s">
        <v>9</v>
      </c>
      <c r="B159" s="6">
        <v>144</v>
      </c>
      <c r="C159" s="6">
        <v>53</v>
      </c>
      <c r="D159" s="6">
        <v>113678</v>
      </c>
      <c r="E159" s="6">
        <v>8.7200000000000006</v>
      </c>
      <c r="F159" s="6">
        <v>30060</v>
      </c>
    </row>
    <row r="160" spans="1:6" outlineLevel="2" x14ac:dyDescent="0.3">
      <c r="A160" s="5" t="s">
        <v>9</v>
      </c>
      <c r="B160" s="6">
        <v>883</v>
      </c>
      <c r="C160" s="6">
        <v>369</v>
      </c>
      <c r="D160" s="6">
        <v>233694</v>
      </c>
      <c r="E160" s="6">
        <v>2.88</v>
      </c>
      <c r="F160" s="6">
        <v>15071</v>
      </c>
    </row>
    <row r="161" spans="1:6" outlineLevel="2" x14ac:dyDescent="0.3">
      <c r="A161" s="5" t="s">
        <v>9</v>
      </c>
      <c r="B161" s="6">
        <v>224</v>
      </c>
      <c r="C161" s="6">
        <v>64</v>
      </c>
      <c r="D161" s="6">
        <v>156683</v>
      </c>
      <c r="E161" s="6">
        <v>4.5599999999999996</v>
      </c>
      <c r="F161" s="6">
        <v>28474</v>
      </c>
    </row>
    <row r="162" spans="1:6" outlineLevel="2" x14ac:dyDescent="0.3">
      <c r="A162" s="5" t="s">
        <v>9</v>
      </c>
      <c r="B162" s="6">
        <v>804</v>
      </c>
      <c r="C162" s="6">
        <v>487</v>
      </c>
      <c r="D162" s="6">
        <v>306564</v>
      </c>
      <c r="E162" s="6">
        <v>5.52</v>
      </c>
      <c r="F162" s="6">
        <v>26452</v>
      </c>
    </row>
    <row r="163" spans="1:6" outlineLevel="2" x14ac:dyDescent="0.3">
      <c r="A163" s="5" t="s">
        <v>9</v>
      </c>
      <c r="B163" s="6">
        <v>576</v>
      </c>
      <c r="C163" s="6">
        <v>101</v>
      </c>
      <c r="D163" s="6">
        <v>62499</v>
      </c>
      <c r="E163" s="6">
        <v>3.48</v>
      </c>
      <c r="F163" s="6">
        <v>16804</v>
      </c>
    </row>
    <row r="164" spans="1:6" outlineLevel="2" x14ac:dyDescent="0.3">
      <c r="A164" s="5" t="s">
        <v>9</v>
      </c>
      <c r="B164" s="6">
        <v>460</v>
      </c>
      <c r="C164" s="6">
        <v>141</v>
      </c>
      <c r="D164" s="6">
        <v>320650</v>
      </c>
      <c r="E164" s="6">
        <v>4.04</v>
      </c>
      <c r="F164" s="6">
        <v>49372</v>
      </c>
    </row>
    <row r="165" spans="1:6" outlineLevel="2" x14ac:dyDescent="0.3">
      <c r="A165" s="5" t="s">
        <v>9</v>
      </c>
      <c r="B165" s="6">
        <v>1210</v>
      </c>
      <c r="C165" s="6">
        <v>178</v>
      </c>
      <c r="D165" s="6">
        <v>102042</v>
      </c>
      <c r="E165" s="6">
        <v>5.42</v>
      </c>
      <c r="F165" s="6">
        <v>6915</v>
      </c>
    </row>
    <row r="166" spans="1:6" outlineLevel="2" x14ac:dyDescent="0.3">
      <c r="A166" s="5" t="s">
        <v>9</v>
      </c>
      <c r="B166" s="6">
        <v>221</v>
      </c>
      <c r="C166" s="6">
        <v>31</v>
      </c>
      <c r="D166" s="6">
        <v>87443</v>
      </c>
      <c r="E166" s="6">
        <v>6.19</v>
      </c>
      <c r="F166" s="6">
        <v>10283</v>
      </c>
    </row>
    <row r="167" spans="1:6" outlineLevel="2" x14ac:dyDescent="0.3">
      <c r="A167" s="5" t="s">
        <v>9</v>
      </c>
      <c r="B167" s="6">
        <v>422</v>
      </c>
      <c r="C167" s="6">
        <v>394</v>
      </c>
      <c r="D167" s="6">
        <v>239044</v>
      </c>
      <c r="E167" s="6">
        <v>7.83</v>
      </c>
      <c r="F167" s="6">
        <v>32929</v>
      </c>
    </row>
    <row r="168" spans="1:6" outlineLevel="2" x14ac:dyDescent="0.3">
      <c r="A168" s="5" t="s">
        <v>9</v>
      </c>
      <c r="B168" s="6">
        <v>728</v>
      </c>
      <c r="C168" s="6">
        <v>395</v>
      </c>
      <c r="D168" s="6">
        <v>370971</v>
      </c>
      <c r="E168" s="6">
        <v>3.86</v>
      </c>
      <c r="F168" s="6">
        <v>12646</v>
      </c>
    </row>
    <row r="169" spans="1:6" outlineLevel="2" x14ac:dyDescent="0.3">
      <c r="A169" s="5" t="s">
        <v>9</v>
      </c>
      <c r="B169" s="6">
        <v>1409</v>
      </c>
      <c r="C169" s="6">
        <v>309</v>
      </c>
      <c r="D169" s="6">
        <v>64583</v>
      </c>
      <c r="E169" s="6">
        <v>8.99</v>
      </c>
      <c r="F169" s="6">
        <v>10217</v>
      </c>
    </row>
    <row r="170" spans="1:6" outlineLevel="2" x14ac:dyDescent="0.3">
      <c r="A170" s="5" t="s">
        <v>9</v>
      </c>
      <c r="B170" s="6">
        <v>123</v>
      </c>
      <c r="C170" s="6">
        <v>155</v>
      </c>
      <c r="D170" s="6">
        <v>119934</v>
      </c>
      <c r="E170" s="6">
        <v>3.5</v>
      </c>
      <c r="F170" s="6">
        <v>5442</v>
      </c>
    </row>
    <row r="171" spans="1:6" outlineLevel="2" x14ac:dyDescent="0.3">
      <c r="A171" s="5" t="s">
        <v>9</v>
      </c>
      <c r="B171" s="6">
        <v>1218</v>
      </c>
      <c r="C171" s="6">
        <v>212</v>
      </c>
      <c r="D171" s="6">
        <v>63177</v>
      </c>
      <c r="E171" s="6">
        <v>8.1300000000000008</v>
      </c>
      <c r="F171" s="6">
        <v>38883</v>
      </c>
    </row>
    <row r="172" spans="1:6" outlineLevel="2" x14ac:dyDescent="0.3">
      <c r="A172" s="5" t="s">
        <v>9</v>
      </c>
      <c r="B172" s="6">
        <v>1918</v>
      </c>
      <c r="C172" s="6">
        <v>212</v>
      </c>
      <c r="D172" s="6">
        <v>94360</v>
      </c>
      <c r="E172" s="6">
        <v>7.36</v>
      </c>
      <c r="F172" s="6">
        <v>36851</v>
      </c>
    </row>
    <row r="173" spans="1:6" outlineLevel="2" x14ac:dyDescent="0.3">
      <c r="A173" s="5" t="s">
        <v>9</v>
      </c>
      <c r="B173" s="6">
        <v>307</v>
      </c>
      <c r="C173" s="6">
        <v>189</v>
      </c>
      <c r="D173" s="6">
        <v>117767</v>
      </c>
      <c r="E173" s="6">
        <v>9.3000000000000007</v>
      </c>
      <c r="F173" s="6">
        <v>27822</v>
      </c>
    </row>
    <row r="174" spans="1:6" outlineLevel="2" x14ac:dyDescent="0.3">
      <c r="A174" s="5" t="s">
        <v>9</v>
      </c>
      <c r="B174" s="6">
        <v>414</v>
      </c>
      <c r="C174" s="6">
        <v>47</v>
      </c>
      <c r="D174" s="6">
        <v>199178</v>
      </c>
      <c r="E174" s="6">
        <v>1.53</v>
      </c>
      <c r="F174" s="6">
        <v>6742</v>
      </c>
    </row>
    <row r="175" spans="1:6" outlineLevel="2" x14ac:dyDescent="0.3">
      <c r="A175" s="5" t="s">
        <v>9</v>
      </c>
      <c r="B175" s="6">
        <v>1707</v>
      </c>
      <c r="C175" s="6">
        <v>223</v>
      </c>
      <c r="D175" s="6">
        <v>256910</v>
      </c>
      <c r="E175" s="6">
        <v>5.41</v>
      </c>
      <c r="F175" s="6">
        <v>44321</v>
      </c>
    </row>
    <row r="176" spans="1:6" outlineLevel="2" x14ac:dyDescent="0.3">
      <c r="A176" s="5" t="s">
        <v>9</v>
      </c>
      <c r="B176" s="6">
        <v>1814</v>
      </c>
      <c r="C176" s="6">
        <v>157</v>
      </c>
      <c r="D176" s="6">
        <v>305827</v>
      </c>
      <c r="E176" s="6">
        <v>1.99</v>
      </c>
      <c r="F176" s="6">
        <v>46643</v>
      </c>
    </row>
    <row r="177" spans="1:6" outlineLevel="2" x14ac:dyDescent="0.3">
      <c r="A177" s="5" t="s">
        <v>9</v>
      </c>
      <c r="B177" s="6">
        <v>1507</v>
      </c>
      <c r="C177" s="6">
        <v>463</v>
      </c>
      <c r="D177" s="6">
        <v>258944</v>
      </c>
      <c r="E177" s="6">
        <v>6.08</v>
      </c>
      <c r="F177" s="6">
        <v>16443</v>
      </c>
    </row>
    <row r="178" spans="1:6" outlineLevel="2" x14ac:dyDescent="0.3">
      <c r="A178" s="5" t="s">
        <v>9</v>
      </c>
      <c r="B178" s="6">
        <v>454</v>
      </c>
      <c r="C178" s="6">
        <v>105</v>
      </c>
      <c r="D178" s="6">
        <v>121091</v>
      </c>
      <c r="E178" s="6">
        <v>7.97</v>
      </c>
      <c r="F178" s="6">
        <v>9269</v>
      </c>
    </row>
    <row r="179" spans="1:6" outlineLevel="2" x14ac:dyDescent="0.3">
      <c r="A179" s="5" t="s">
        <v>9</v>
      </c>
      <c r="B179" s="6">
        <v>278</v>
      </c>
      <c r="C179" s="6">
        <v>218</v>
      </c>
      <c r="D179" s="6">
        <v>301695</v>
      </c>
      <c r="E179" s="6">
        <v>4.68</v>
      </c>
      <c r="F179" s="6">
        <v>22373</v>
      </c>
    </row>
    <row r="180" spans="1:6" outlineLevel="2" x14ac:dyDescent="0.3">
      <c r="A180" s="5" t="s">
        <v>9</v>
      </c>
      <c r="B180" s="6">
        <v>1293</v>
      </c>
      <c r="C180" s="6">
        <v>408</v>
      </c>
      <c r="D180" s="6">
        <v>62535</v>
      </c>
      <c r="E180" s="6">
        <v>8.9</v>
      </c>
      <c r="F180" s="6">
        <v>37876</v>
      </c>
    </row>
    <row r="181" spans="1:6" outlineLevel="2" x14ac:dyDescent="0.3">
      <c r="A181" s="5" t="s">
        <v>9</v>
      </c>
      <c r="B181" s="6">
        <v>452</v>
      </c>
      <c r="C181" s="6">
        <v>161</v>
      </c>
      <c r="D181" s="6">
        <v>221274</v>
      </c>
      <c r="E181" s="6">
        <v>2.65</v>
      </c>
      <c r="F181" s="6">
        <v>40888</v>
      </c>
    </row>
    <row r="182" spans="1:6" outlineLevel="2" x14ac:dyDescent="0.3">
      <c r="A182" s="5" t="s">
        <v>9</v>
      </c>
      <c r="B182" s="6">
        <v>736</v>
      </c>
      <c r="C182" s="6">
        <v>163</v>
      </c>
      <c r="D182" s="6">
        <v>451894</v>
      </c>
      <c r="E182" s="6">
        <v>5.43</v>
      </c>
      <c r="F182" s="6">
        <v>46625</v>
      </c>
    </row>
    <row r="183" spans="1:6" outlineLevel="2" x14ac:dyDescent="0.3">
      <c r="A183" s="5" t="s">
        <v>9</v>
      </c>
      <c r="B183" s="6">
        <v>1004</v>
      </c>
      <c r="C183" s="6">
        <v>128</v>
      </c>
      <c r="D183" s="6">
        <v>488901</v>
      </c>
      <c r="E183" s="6">
        <v>8.09</v>
      </c>
      <c r="F183" s="6">
        <v>49558</v>
      </c>
    </row>
    <row r="184" spans="1:6" outlineLevel="2" x14ac:dyDescent="0.3">
      <c r="A184" s="5" t="s">
        <v>9</v>
      </c>
      <c r="B184" s="6">
        <v>1900</v>
      </c>
      <c r="C184" s="6">
        <v>311</v>
      </c>
      <c r="D184" s="6">
        <v>25177</v>
      </c>
      <c r="E184" s="6">
        <v>2.89</v>
      </c>
      <c r="F184" s="6">
        <v>14154</v>
      </c>
    </row>
    <row r="185" spans="1:6" outlineLevel="2" x14ac:dyDescent="0.3">
      <c r="A185" s="5" t="s">
        <v>9</v>
      </c>
      <c r="B185" s="6">
        <v>1495</v>
      </c>
      <c r="C185" s="6">
        <v>35</v>
      </c>
      <c r="D185" s="6">
        <v>136845</v>
      </c>
      <c r="E185" s="6">
        <v>4.4800000000000004</v>
      </c>
      <c r="F185" s="6">
        <v>39931</v>
      </c>
    </row>
    <row r="186" spans="1:6" outlineLevel="2" x14ac:dyDescent="0.3">
      <c r="A186" s="5" t="s">
        <v>9</v>
      </c>
      <c r="B186" s="6">
        <v>891</v>
      </c>
      <c r="C186" s="6">
        <v>45</v>
      </c>
      <c r="D186" s="6">
        <v>95410</v>
      </c>
      <c r="E186" s="6">
        <v>8.33</v>
      </c>
      <c r="F186" s="6">
        <v>15045</v>
      </c>
    </row>
    <row r="187" spans="1:6" outlineLevel="2" x14ac:dyDescent="0.3">
      <c r="A187" s="5" t="s">
        <v>9</v>
      </c>
      <c r="B187" s="6">
        <v>1331</v>
      </c>
      <c r="C187" s="6">
        <v>430</v>
      </c>
      <c r="D187" s="6">
        <v>14437</v>
      </c>
      <c r="E187" s="6">
        <v>3.29</v>
      </c>
      <c r="F187" s="6">
        <v>40868</v>
      </c>
    </row>
    <row r="188" spans="1:6" outlineLevel="2" x14ac:dyDescent="0.3">
      <c r="A188" s="5" t="s">
        <v>9</v>
      </c>
      <c r="B188" s="6">
        <v>1166</v>
      </c>
      <c r="C188" s="6">
        <v>442</v>
      </c>
      <c r="D188" s="6">
        <v>336949</v>
      </c>
      <c r="E188" s="6">
        <v>4.68</v>
      </c>
      <c r="F188" s="6">
        <v>7705</v>
      </c>
    </row>
    <row r="189" spans="1:6" outlineLevel="2" x14ac:dyDescent="0.3">
      <c r="A189" s="5" t="s">
        <v>9</v>
      </c>
      <c r="B189" s="6">
        <v>1411</v>
      </c>
      <c r="C189" s="6">
        <v>186</v>
      </c>
      <c r="D189" s="6">
        <v>461669</v>
      </c>
      <c r="E189" s="6">
        <v>3.72</v>
      </c>
      <c r="F189" s="6">
        <v>43999</v>
      </c>
    </row>
    <row r="190" spans="1:6" outlineLevel="2" x14ac:dyDescent="0.3">
      <c r="A190" s="5" t="s">
        <v>9</v>
      </c>
      <c r="B190" s="6">
        <v>152</v>
      </c>
      <c r="C190" s="6">
        <v>355</v>
      </c>
      <c r="D190" s="6">
        <v>270766</v>
      </c>
      <c r="E190" s="6">
        <v>9.48</v>
      </c>
      <c r="F190" s="6">
        <v>18001</v>
      </c>
    </row>
    <row r="191" spans="1:6" outlineLevel="2" x14ac:dyDescent="0.3">
      <c r="A191" s="5" t="s">
        <v>9</v>
      </c>
      <c r="B191" s="6">
        <v>1707</v>
      </c>
      <c r="C191" s="6">
        <v>263</v>
      </c>
      <c r="D191" s="6">
        <v>485280</v>
      </c>
      <c r="E191" s="6">
        <v>9.0299999999999994</v>
      </c>
      <c r="F191" s="6">
        <v>24494</v>
      </c>
    </row>
    <row r="192" spans="1:6" outlineLevel="2" x14ac:dyDescent="0.3">
      <c r="A192" s="5" t="s">
        <v>9</v>
      </c>
      <c r="B192" s="6">
        <v>1662</v>
      </c>
      <c r="C192" s="6">
        <v>487</v>
      </c>
      <c r="D192" s="6">
        <v>105980</v>
      </c>
      <c r="E192" s="6">
        <v>9.08</v>
      </c>
      <c r="F192" s="6">
        <v>22996</v>
      </c>
    </row>
    <row r="193" spans="1:6" outlineLevel="2" x14ac:dyDescent="0.3">
      <c r="A193" s="5" t="s">
        <v>9</v>
      </c>
      <c r="B193" s="6">
        <v>1063</v>
      </c>
      <c r="C193" s="6">
        <v>47</v>
      </c>
      <c r="D193" s="6">
        <v>464239</v>
      </c>
      <c r="E193" s="6">
        <v>6.58</v>
      </c>
      <c r="F193" s="6">
        <v>39031</v>
      </c>
    </row>
    <row r="194" spans="1:6" outlineLevel="2" x14ac:dyDescent="0.3">
      <c r="A194" s="5" t="s">
        <v>9</v>
      </c>
      <c r="B194" s="6">
        <v>510</v>
      </c>
      <c r="C194" s="6">
        <v>195</v>
      </c>
      <c r="D194" s="6">
        <v>224534</v>
      </c>
      <c r="E194" s="6">
        <v>9.4</v>
      </c>
      <c r="F194" s="6">
        <v>30987</v>
      </c>
    </row>
    <row r="195" spans="1:6" outlineLevel="2" x14ac:dyDescent="0.3">
      <c r="A195" s="5" t="s">
        <v>9</v>
      </c>
      <c r="B195" s="6">
        <v>1658</v>
      </c>
      <c r="C195" s="6">
        <v>416</v>
      </c>
      <c r="D195" s="6">
        <v>98397</v>
      </c>
      <c r="E195" s="6">
        <v>6.11</v>
      </c>
      <c r="F195" s="6">
        <v>11383</v>
      </c>
    </row>
    <row r="196" spans="1:6" outlineLevel="2" x14ac:dyDescent="0.3">
      <c r="A196" s="5" t="s">
        <v>9</v>
      </c>
      <c r="B196" s="6">
        <v>1596</v>
      </c>
      <c r="C196" s="6">
        <v>211</v>
      </c>
      <c r="D196" s="6">
        <v>17380</v>
      </c>
      <c r="E196" s="6">
        <v>8.64</v>
      </c>
      <c r="F196" s="6">
        <v>35801</v>
      </c>
    </row>
    <row r="197" spans="1:6" outlineLevel="2" x14ac:dyDescent="0.3">
      <c r="A197" s="5" t="s">
        <v>9</v>
      </c>
      <c r="B197" s="6">
        <v>442</v>
      </c>
      <c r="C197" s="6">
        <v>53</v>
      </c>
      <c r="D197" s="6">
        <v>441931</v>
      </c>
      <c r="E197" s="6">
        <v>1.87</v>
      </c>
      <c r="F197" s="6">
        <v>20059</v>
      </c>
    </row>
    <row r="198" spans="1:6" outlineLevel="2" x14ac:dyDescent="0.3">
      <c r="A198" s="5" t="s">
        <v>9</v>
      </c>
      <c r="B198" s="6">
        <v>1957</v>
      </c>
      <c r="C198" s="6">
        <v>490</v>
      </c>
      <c r="D198" s="6">
        <v>435726</v>
      </c>
      <c r="E198" s="6">
        <v>4.7300000000000004</v>
      </c>
      <c r="F198" s="6">
        <v>15969</v>
      </c>
    </row>
    <row r="199" spans="1:6" outlineLevel="2" x14ac:dyDescent="0.3">
      <c r="A199" s="5" t="s">
        <v>9</v>
      </c>
      <c r="B199" s="6">
        <v>623</v>
      </c>
      <c r="C199" s="6">
        <v>414</v>
      </c>
      <c r="D199" s="6">
        <v>290354</v>
      </c>
      <c r="E199" s="6">
        <v>6.49</v>
      </c>
      <c r="F199" s="6">
        <v>39923</v>
      </c>
    </row>
    <row r="200" spans="1:6" outlineLevel="2" x14ac:dyDescent="0.3">
      <c r="A200" s="5" t="s">
        <v>9</v>
      </c>
      <c r="B200" s="6">
        <v>520</v>
      </c>
      <c r="C200" s="6">
        <v>375</v>
      </c>
      <c r="D200" s="6">
        <v>369525</v>
      </c>
      <c r="E200" s="6">
        <v>6.54</v>
      </c>
      <c r="F200" s="6">
        <v>20733</v>
      </c>
    </row>
    <row r="201" spans="1:6" outlineLevel="2" x14ac:dyDescent="0.3">
      <c r="A201" s="5" t="s">
        <v>9</v>
      </c>
      <c r="B201" s="6">
        <v>1707</v>
      </c>
      <c r="C201" s="6">
        <v>74</v>
      </c>
      <c r="D201" s="6">
        <v>270958</v>
      </c>
      <c r="E201" s="6">
        <v>3.09</v>
      </c>
      <c r="F201" s="6">
        <v>14090</v>
      </c>
    </row>
    <row r="202" spans="1:6" outlineLevel="2" x14ac:dyDescent="0.3">
      <c r="A202" s="5" t="s">
        <v>9</v>
      </c>
      <c r="B202" s="6">
        <v>777</v>
      </c>
      <c r="C202" s="6">
        <v>140</v>
      </c>
      <c r="D202" s="6">
        <v>11435</v>
      </c>
      <c r="E202" s="6">
        <v>1.6</v>
      </c>
      <c r="F202" s="6">
        <v>6832</v>
      </c>
    </row>
    <row r="203" spans="1:6" outlineLevel="2" x14ac:dyDescent="0.3">
      <c r="A203" s="5" t="s">
        <v>9</v>
      </c>
      <c r="B203" s="6">
        <v>1035</v>
      </c>
      <c r="C203" s="6">
        <v>171</v>
      </c>
      <c r="D203" s="6">
        <v>148477</v>
      </c>
      <c r="E203" s="6">
        <v>5.21</v>
      </c>
      <c r="F203" s="6">
        <v>7541</v>
      </c>
    </row>
    <row r="204" spans="1:6" outlineLevel="2" x14ac:dyDescent="0.3">
      <c r="A204" s="5" t="s">
        <v>9</v>
      </c>
      <c r="B204" s="6">
        <v>119</v>
      </c>
      <c r="C204" s="6">
        <v>456</v>
      </c>
      <c r="D204" s="6">
        <v>82558</v>
      </c>
      <c r="E204" s="6">
        <v>6.81</v>
      </c>
      <c r="F204" s="6">
        <v>12174</v>
      </c>
    </row>
    <row r="205" spans="1:6" outlineLevel="1" x14ac:dyDescent="0.3">
      <c r="A205" s="14" t="s">
        <v>14</v>
      </c>
      <c r="B205" s="11"/>
      <c r="C205" s="11"/>
      <c r="D205" s="11"/>
      <c r="E205" s="11">
        <f>SUBTOTAL(9,E155:E204)</f>
        <v>277.94</v>
      </c>
      <c r="F205" s="11"/>
    </row>
    <row r="206" spans="1:6" x14ac:dyDescent="0.3">
      <c r="A206" s="14" t="s">
        <v>10</v>
      </c>
      <c r="B206" s="11"/>
      <c r="C206" s="11"/>
      <c r="D206" s="11"/>
      <c r="E206" s="11">
        <f>SUBTOTAL(9,E2:E204)</f>
        <v>1128.9399999999998</v>
      </c>
      <c r="F206" s="11"/>
    </row>
  </sheetData>
  <sortState xmlns:xlrd2="http://schemas.microsoft.com/office/spreadsheetml/2017/richdata2" ref="A2:F204">
    <sortCondition ref="A1:A204"/>
  </sortState>
  <pageMargins left="0.7" right="0.7" top="0.75" bottom="0.75" header="0.3" footer="0.3"/>
  <pageSetup orientation="portrait" r:id="rId1"/>
  <rowBreaks count="3" manualBreakCount="3">
    <brk id="52" max="16383" man="1"/>
    <brk id="103" max="16383" man="1"/>
    <brk id="154" max="16383" man="1"/>
  </rowBreak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C4E7-057B-4EC2-947A-2599095C2203}">
  <dimension ref="A1:I201"/>
  <sheetViews>
    <sheetView tabSelected="1" zoomScale="91" zoomScaleNormal="91" workbookViewId="0">
      <selection activeCell="Q7" sqref="Q7"/>
    </sheetView>
  </sheetViews>
  <sheetFormatPr defaultRowHeight="14.4" x14ac:dyDescent="0.3"/>
  <cols>
    <col min="1" max="1" width="10.5546875" bestFit="1" customWidth="1"/>
    <col min="2" max="2" width="18.6640625" bestFit="1" customWidth="1"/>
    <col min="3" max="3" width="11.88671875" style="30" bestFit="1" customWidth="1"/>
    <col min="4" max="4" width="10.109375" style="18" customWidth="1"/>
    <col min="5" max="5" width="10.109375" customWidth="1"/>
    <col min="6" max="6" width="16.21875" bestFit="1" customWidth="1"/>
    <col min="7" max="7" width="15.5546875" style="19" bestFit="1" customWidth="1"/>
    <col min="8" max="8" width="21.109375" customWidth="1"/>
    <col min="9" max="9" width="16.33203125" customWidth="1"/>
    <col min="10" max="10" width="8.44140625" bestFit="1" customWidth="1"/>
    <col min="11" max="11" width="10.77734375" bestFit="1" customWidth="1"/>
    <col min="12" max="12" width="9.109375" bestFit="1" customWidth="1"/>
    <col min="13" max="13" width="9.21875" bestFit="1" customWidth="1"/>
    <col min="14" max="14" width="9.109375" bestFit="1" customWidth="1"/>
    <col min="15" max="15" width="9.44140625" bestFit="1" customWidth="1"/>
    <col min="16" max="16" width="9.21875" bestFit="1" customWidth="1"/>
    <col min="17" max="17" width="9.109375" bestFit="1" customWidth="1"/>
    <col min="18" max="18" width="9.21875" bestFit="1" customWidth="1"/>
    <col min="19" max="19" width="6.88671875" bestFit="1" customWidth="1"/>
    <col min="20" max="20" width="8.21875" bestFit="1" customWidth="1"/>
    <col min="21" max="21" width="9.44140625" bestFit="1" customWidth="1"/>
    <col min="22" max="22" width="9.21875" bestFit="1" customWidth="1"/>
    <col min="23" max="23" width="9.44140625" bestFit="1" customWidth="1"/>
    <col min="24" max="24" width="9.21875" bestFit="1" customWidth="1"/>
    <col min="25" max="25" width="8.44140625" bestFit="1" customWidth="1"/>
    <col min="26" max="26" width="9.21875" bestFit="1" customWidth="1"/>
    <col min="27" max="27" width="9.109375" bestFit="1" customWidth="1"/>
    <col min="28" max="28" width="9.21875" bestFit="1" customWidth="1"/>
    <col min="29" max="29" width="8.44140625" bestFit="1" customWidth="1"/>
    <col min="30" max="30" width="9.21875" bestFit="1" customWidth="1"/>
    <col min="31" max="31" width="7" bestFit="1" customWidth="1"/>
    <col min="32" max="32" width="9.21875" bestFit="1" customWidth="1"/>
    <col min="33" max="33" width="9.109375" bestFit="1" customWidth="1"/>
    <col min="34" max="34" width="9.21875" bestFit="1" customWidth="1"/>
    <col min="35" max="35" width="7" bestFit="1" customWidth="1"/>
    <col min="36" max="36" width="9.21875" bestFit="1" customWidth="1"/>
    <col min="37" max="37" width="7" bestFit="1" customWidth="1"/>
    <col min="38" max="38" width="9.21875" bestFit="1" customWidth="1"/>
    <col min="39" max="39" width="9.44140625" bestFit="1" customWidth="1"/>
    <col min="40" max="40" width="9.21875" bestFit="1" customWidth="1"/>
    <col min="41" max="41" width="9.109375" bestFit="1" customWidth="1"/>
    <col min="42" max="42" width="9.21875" bestFit="1" customWidth="1"/>
    <col min="43" max="43" width="7" bestFit="1" customWidth="1"/>
    <col min="44" max="44" width="9.21875" bestFit="1" customWidth="1"/>
    <col min="45" max="45" width="9.44140625" bestFit="1" customWidth="1"/>
    <col min="46" max="46" width="6.88671875" bestFit="1" customWidth="1"/>
    <col min="47" max="47" width="9.21875" bestFit="1" customWidth="1"/>
    <col min="48" max="48" width="9.109375" bestFit="1" customWidth="1"/>
    <col min="49" max="49" width="9.21875" bestFit="1" customWidth="1"/>
    <col min="50" max="50" width="7" bestFit="1" customWidth="1"/>
    <col min="51" max="51" width="9.21875" bestFit="1" customWidth="1"/>
    <col min="52" max="52" width="9.109375" bestFit="1" customWidth="1"/>
    <col min="53" max="53" width="8.21875" bestFit="1" customWidth="1"/>
    <col min="54" max="54" width="8.44140625" bestFit="1" customWidth="1"/>
    <col min="55" max="55" width="9.21875" bestFit="1" customWidth="1"/>
    <col min="56" max="56" width="8.44140625" bestFit="1" customWidth="1"/>
    <col min="57" max="57" width="9.21875" bestFit="1" customWidth="1"/>
    <col min="58" max="58" width="9.109375" bestFit="1" customWidth="1"/>
    <col min="59" max="59" width="9.21875" bestFit="1" customWidth="1"/>
    <col min="60" max="60" width="7" bestFit="1" customWidth="1"/>
    <col min="61" max="61" width="9.21875" bestFit="1" customWidth="1"/>
    <col min="62" max="62" width="9.44140625" bestFit="1" customWidth="1"/>
    <col min="63" max="63" width="9.21875" bestFit="1" customWidth="1"/>
    <col min="64" max="64" width="8.44140625" bestFit="1" customWidth="1"/>
    <col min="65" max="65" width="9.21875" bestFit="1" customWidth="1"/>
    <col min="66" max="66" width="8.44140625" bestFit="1" customWidth="1"/>
    <col min="67" max="67" width="9.21875" bestFit="1" customWidth="1"/>
    <col min="68" max="68" width="9.109375" bestFit="1" customWidth="1"/>
    <col min="69" max="69" width="8.44140625" bestFit="1" customWidth="1"/>
    <col min="70" max="70" width="9.21875" bestFit="1" customWidth="1"/>
    <col min="71" max="71" width="9.109375" bestFit="1" customWidth="1"/>
    <col min="72" max="72" width="6.88671875" bestFit="1" customWidth="1"/>
    <col min="73" max="73" width="8.44140625" bestFit="1" customWidth="1"/>
    <col min="74" max="74" width="9.21875" bestFit="1" customWidth="1"/>
    <col min="75" max="75" width="9.44140625" bestFit="1" customWidth="1"/>
    <col min="76" max="76" width="9.21875" bestFit="1" customWidth="1"/>
    <col min="77" max="77" width="9.44140625" bestFit="1" customWidth="1"/>
    <col min="78" max="78" width="9.21875" bestFit="1" customWidth="1"/>
    <col min="79" max="79" width="8.44140625" bestFit="1" customWidth="1"/>
    <col min="80" max="80" width="9.21875" bestFit="1" customWidth="1"/>
    <col min="81" max="81" width="9.44140625" bestFit="1" customWidth="1"/>
    <col min="82" max="82" width="8.21875" bestFit="1" customWidth="1"/>
    <col min="83" max="83" width="9.109375" bestFit="1" customWidth="1"/>
    <col min="84" max="84" width="9.44140625" bestFit="1" customWidth="1"/>
    <col min="85" max="85" width="9.21875" bestFit="1" customWidth="1"/>
    <col min="86" max="86" width="9.44140625" bestFit="1" customWidth="1"/>
    <col min="87" max="87" width="8.21875" bestFit="1" customWidth="1"/>
    <col min="88" max="88" width="8.44140625" bestFit="1" customWidth="1"/>
    <col min="89" max="89" width="9.21875" bestFit="1" customWidth="1"/>
    <col min="90" max="90" width="8.44140625" bestFit="1" customWidth="1"/>
    <col min="91" max="91" width="9.21875" bestFit="1" customWidth="1"/>
    <col min="92" max="92" width="6.88671875" bestFit="1" customWidth="1"/>
    <col min="93" max="93" width="8.44140625" bestFit="1" customWidth="1"/>
    <col min="94" max="94" width="8.21875" bestFit="1" customWidth="1"/>
    <col min="95" max="95" width="7" bestFit="1" customWidth="1"/>
    <col min="96" max="96" width="9.21875" bestFit="1" customWidth="1"/>
    <col min="97" max="97" width="8.44140625" bestFit="1" customWidth="1"/>
    <col min="98" max="98" width="9.21875" bestFit="1" customWidth="1"/>
    <col min="99" max="99" width="9.44140625" bestFit="1" customWidth="1"/>
    <col min="100" max="100" width="9.21875" bestFit="1" customWidth="1"/>
    <col min="101" max="101" width="9.44140625" bestFit="1" customWidth="1"/>
    <col min="102" max="102" width="9.21875" bestFit="1" customWidth="1"/>
    <col min="103" max="103" width="9.109375" bestFit="1" customWidth="1"/>
    <col min="104" max="104" width="6.88671875" bestFit="1" customWidth="1"/>
    <col min="105" max="105" width="9.21875" bestFit="1" customWidth="1"/>
    <col min="106" max="106" width="9.109375" bestFit="1" customWidth="1"/>
    <col min="107" max="107" width="8.44140625" bestFit="1" customWidth="1"/>
    <col min="108" max="108" width="9.21875" bestFit="1" customWidth="1"/>
    <col min="109" max="109" width="9.109375" bestFit="1" customWidth="1"/>
    <col min="110" max="110" width="9.21875" bestFit="1" customWidth="1"/>
    <col min="111" max="111" width="9.44140625" bestFit="1" customWidth="1"/>
    <col min="112" max="112" width="9.21875" bestFit="1" customWidth="1"/>
    <col min="113" max="113" width="7" bestFit="1" customWidth="1"/>
    <col min="114" max="114" width="9.21875" bestFit="1" customWidth="1"/>
    <col min="115" max="115" width="9.109375" bestFit="1" customWidth="1"/>
    <col min="116" max="116" width="6.6640625" bestFit="1" customWidth="1"/>
    <col min="117" max="117" width="7" bestFit="1" customWidth="1"/>
    <col min="118" max="118" width="9.21875" bestFit="1" customWidth="1"/>
    <col min="119" max="119" width="8.44140625" bestFit="1" customWidth="1"/>
    <col min="120" max="120" width="9.21875" bestFit="1" customWidth="1"/>
    <col min="121" max="121" width="9.44140625" bestFit="1" customWidth="1"/>
    <col min="122" max="122" width="9.21875" bestFit="1" customWidth="1"/>
    <col min="123" max="123" width="8.44140625" bestFit="1" customWidth="1"/>
    <col min="124" max="124" width="9.21875" bestFit="1" customWidth="1"/>
    <col min="125" max="125" width="6.88671875" bestFit="1" customWidth="1"/>
    <col min="126" max="126" width="8.21875" bestFit="1" customWidth="1"/>
    <col min="127" max="127" width="9.44140625" bestFit="1" customWidth="1"/>
    <col min="128" max="128" width="9.21875" bestFit="1" customWidth="1"/>
    <col min="129" max="129" width="7" bestFit="1" customWidth="1"/>
    <col min="130" max="130" width="9.21875" bestFit="1" customWidth="1"/>
    <col min="131" max="131" width="9.109375" bestFit="1" customWidth="1"/>
    <col min="132" max="132" width="9.21875" bestFit="1" customWidth="1"/>
    <col min="133" max="133" width="9.109375" bestFit="1" customWidth="1"/>
    <col min="134" max="134" width="8.44140625" bestFit="1" customWidth="1"/>
    <col min="135" max="135" width="9.21875" bestFit="1" customWidth="1"/>
    <col min="136" max="136" width="6.88671875" bestFit="1" customWidth="1"/>
    <col min="137" max="137" width="8.21875" bestFit="1" customWidth="1"/>
    <col min="138" max="138" width="9.109375" bestFit="1" customWidth="1"/>
    <col min="139" max="139" width="9.21875" bestFit="1" customWidth="1"/>
    <col min="140" max="140" width="9.109375" bestFit="1" customWidth="1"/>
    <col min="141" max="141" width="9.21875" bestFit="1" customWidth="1"/>
    <col min="142" max="142" width="8.44140625" bestFit="1" customWidth="1"/>
    <col min="143" max="143" width="9.21875" bestFit="1" customWidth="1"/>
    <col min="144" max="144" width="9.44140625" bestFit="1" customWidth="1"/>
    <col min="145" max="145" width="9.21875" bestFit="1" customWidth="1"/>
    <col min="146" max="146" width="9.44140625" bestFit="1" customWidth="1"/>
    <col min="147" max="147" width="6.88671875" bestFit="1" customWidth="1"/>
    <col min="148" max="148" width="9.21875" bestFit="1" customWidth="1"/>
    <col min="149" max="149" width="7" bestFit="1" customWidth="1"/>
    <col min="150" max="150" width="8.44140625" bestFit="1" customWidth="1"/>
    <col min="151" max="151" width="9.21875" bestFit="1" customWidth="1"/>
    <col min="152" max="152" width="8.44140625" bestFit="1" customWidth="1"/>
    <col min="153" max="153" width="9.21875" bestFit="1" customWidth="1"/>
    <col min="154" max="154" width="9.109375" bestFit="1" customWidth="1"/>
    <col min="155" max="155" width="9.21875" bestFit="1" customWidth="1"/>
    <col min="156" max="156" width="9.109375" bestFit="1" customWidth="1"/>
    <col min="157" max="157" width="9.21875" bestFit="1" customWidth="1"/>
    <col min="158" max="158" width="9.109375" bestFit="1" customWidth="1"/>
    <col min="159" max="159" width="9.21875" bestFit="1" customWidth="1"/>
    <col min="160" max="160" width="7" bestFit="1" customWidth="1"/>
    <col min="161" max="161" width="9.21875" bestFit="1" customWidth="1"/>
    <col min="162" max="162" width="9.109375" bestFit="1" customWidth="1"/>
    <col min="163" max="163" width="9.21875" bestFit="1" customWidth="1"/>
    <col min="164" max="164" width="7" bestFit="1" customWidth="1"/>
    <col min="165" max="165" width="9.21875" bestFit="1" customWidth="1"/>
    <col min="166" max="166" width="9.44140625" bestFit="1" customWidth="1"/>
    <col min="167" max="167" width="9.21875" bestFit="1" customWidth="1"/>
    <col min="168" max="168" width="8.44140625" bestFit="1" customWidth="1"/>
    <col min="169" max="169" width="9.21875" bestFit="1" customWidth="1"/>
    <col min="170" max="170" width="7" bestFit="1" customWidth="1"/>
    <col min="171" max="171" width="9.21875" bestFit="1" customWidth="1"/>
    <col min="172" max="172" width="7" bestFit="1" customWidth="1"/>
    <col min="173" max="173" width="9.21875" bestFit="1" customWidth="1"/>
    <col min="174" max="174" width="9.44140625" bestFit="1" customWidth="1"/>
    <col min="175" max="175" width="6.88671875" bestFit="1" customWidth="1"/>
    <col min="176" max="176" width="8.21875" bestFit="1" customWidth="1"/>
    <col min="177" max="177" width="7" bestFit="1" customWidth="1"/>
    <col min="178" max="178" width="9.21875" bestFit="1" customWidth="1"/>
    <col min="179" max="179" width="8.44140625" bestFit="1" customWidth="1"/>
    <col min="180" max="180" width="9.21875" bestFit="1" customWidth="1"/>
    <col min="181" max="181" width="8.44140625" bestFit="1" customWidth="1"/>
    <col min="182" max="182" width="9.21875" bestFit="1" customWidth="1"/>
    <col min="183" max="183" width="8.44140625" bestFit="1" customWidth="1"/>
    <col min="184" max="184" width="9.21875" bestFit="1" customWidth="1"/>
    <col min="185" max="185" width="8.44140625" bestFit="1" customWidth="1"/>
    <col min="186" max="186" width="9.21875" bestFit="1" customWidth="1"/>
    <col min="187" max="187" width="7" bestFit="1" customWidth="1"/>
    <col min="188" max="188" width="9.21875" bestFit="1" customWidth="1"/>
    <col min="189" max="189" width="9.109375" bestFit="1" customWidth="1"/>
    <col min="190" max="190" width="9.21875" bestFit="1" customWidth="1"/>
    <col min="191" max="191" width="9.109375" bestFit="1" customWidth="1"/>
    <col min="192" max="192" width="9.21875" bestFit="1" customWidth="1"/>
    <col min="193" max="193" width="7" bestFit="1" customWidth="1"/>
    <col min="194" max="194" width="9.21875" bestFit="1" customWidth="1"/>
    <col min="195" max="195" width="9.44140625" bestFit="1" customWidth="1"/>
    <col min="196" max="196" width="9.21875" bestFit="1" customWidth="1"/>
    <col min="197" max="197" width="9.44140625" bestFit="1" customWidth="1"/>
    <col min="198" max="198" width="9.21875" bestFit="1" customWidth="1"/>
    <col min="199" max="199" width="9.44140625" bestFit="1" customWidth="1"/>
    <col min="200" max="200" width="9.21875" bestFit="1" customWidth="1"/>
    <col min="201" max="201" width="6.88671875" bestFit="1" customWidth="1"/>
    <col min="202" max="202" width="8.21875" bestFit="1" customWidth="1"/>
    <col min="203" max="203" width="9.109375" bestFit="1" customWidth="1"/>
    <col min="204" max="204" width="9.21875" bestFit="1" customWidth="1"/>
    <col min="205" max="205" width="8.44140625" bestFit="1" customWidth="1"/>
    <col min="206" max="206" width="9.21875" bestFit="1" customWidth="1"/>
    <col min="207" max="207" width="9.44140625" bestFit="1" customWidth="1"/>
    <col min="208" max="208" width="9.21875" bestFit="1" customWidth="1"/>
    <col min="209" max="209" width="9.109375" bestFit="1" customWidth="1"/>
    <col min="210" max="210" width="8.44140625" bestFit="1" customWidth="1"/>
    <col min="211" max="211" width="9.21875" bestFit="1" customWidth="1"/>
    <col min="212" max="212" width="7" bestFit="1" customWidth="1"/>
    <col min="213" max="213" width="8.44140625" bestFit="1" customWidth="1"/>
    <col min="214" max="214" width="9.21875" bestFit="1" customWidth="1"/>
    <col min="215" max="215" width="9.109375" bestFit="1" customWidth="1"/>
    <col min="216" max="216" width="8.21875" bestFit="1" customWidth="1"/>
    <col min="217" max="217" width="9.44140625" bestFit="1" customWidth="1"/>
    <col min="218" max="218" width="9.21875" bestFit="1" customWidth="1"/>
    <col min="219" max="219" width="9.44140625" bestFit="1" customWidth="1"/>
    <col min="220" max="220" width="9.21875" bestFit="1" customWidth="1"/>
    <col min="221" max="221" width="9.44140625" bestFit="1" customWidth="1"/>
    <col min="222" max="222" width="9.21875" bestFit="1" customWidth="1"/>
    <col min="223" max="223" width="9.109375" bestFit="1" customWidth="1"/>
    <col min="224" max="224" width="6.88671875" bestFit="1" customWidth="1"/>
    <col min="225" max="225" width="9.21875" bestFit="1" customWidth="1"/>
    <col min="226" max="226" width="9.109375" bestFit="1" customWidth="1"/>
    <col min="227" max="227" width="9.21875" bestFit="1" customWidth="1"/>
    <col min="228" max="228" width="9.109375" bestFit="1" customWidth="1"/>
    <col min="229" max="229" width="9.21875" bestFit="1" customWidth="1"/>
    <col min="230" max="230" width="8.44140625" bestFit="1" customWidth="1"/>
    <col min="231" max="231" width="9.21875" bestFit="1" customWidth="1"/>
    <col min="232" max="232" width="9.44140625" bestFit="1" customWidth="1"/>
    <col min="233" max="233" width="8.21875" bestFit="1" customWidth="1"/>
    <col min="234" max="234" width="8.44140625" bestFit="1" customWidth="1"/>
    <col min="235" max="235" width="9.21875" bestFit="1" customWidth="1"/>
    <col min="236" max="236" width="8.44140625" bestFit="1" customWidth="1"/>
    <col min="237" max="237" width="9.21875" bestFit="1" customWidth="1"/>
    <col min="238" max="238" width="7" bestFit="1" customWidth="1"/>
    <col min="239" max="239" width="9.21875" bestFit="1" customWidth="1"/>
    <col min="240" max="240" width="9.44140625" bestFit="1" customWidth="1"/>
    <col min="241" max="241" width="9.21875" bestFit="1" customWidth="1"/>
    <col min="242" max="242" width="9.44140625" bestFit="1" customWidth="1"/>
    <col min="243" max="243" width="8.21875" bestFit="1" customWidth="1"/>
    <col min="244" max="244" width="8.44140625" bestFit="1" customWidth="1"/>
    <col min="245" max="245" width="9.21875" bestFit="1" customWidth="1"/>
    <col min="246" max="246" width="9.44140625" bestFit="1" customWidth="1"/>
    <col min="247" max="247" width="9.21875" bestFit="1" customWidth="1"/>
    <col min="248" max="248" width="9.44140625" bestFit="1" customWidth="1"/>
    <col min="249" max="249" width="9.21875" bestFit="1" customWidth="1"/>
    <col min="250" max="250" width="7" bestFit="1" customWidth="1"/>
    <col min="251" max="251" width="9.21875" bestFit="1" customWidth="1"/>
    <col min="252" max="252" width="7" bestFit="1" customWidth="1"/>
    <col min="253" max="253" width="9.21875" bestFit="1" customWidth="1"/>
    <col min="254" max="254" width="9.44140625" bestFit="1" customWidth="1"/>
    <col min="255" max="255" width="9.21875" bestFit="1" customWidth="1"/>
    <col min="256" max="256" width="9.44140625" bestFit="1" customWidth="1"/>
    <col min="257" max="257" width="9.21875" bestFit="1" customWidth="1"/>
    <col min="258" max="258" width="7" bestFit="1" customWidth="1"/>
    <col min="259" max="259" width="9.21875" bestFit="1" customWidth="1"/>
    <col min="260" max="260" width="6.88671875" bestFit="1" customWidth="1"/>
    <col min="261" max="261" width="8.21875" bestFit="1" customWidth="1"/>
    <col min="262" max="262" width="7" bestFit="1" customWidth="1"/>
    <col min="263" max="263" width="9.21875" bestFit="1" customWidth="1"/>
    <col min="264" max="264" width="9.109375" bestFit="1" customWidth="1"/>
    <col min="265" max="265" width="8.44140625" bestFit="1" customWidth="1"/>
    <col min="266" max="266" width="9.21875" bestFit="1" customWidth="1"/>
    <col min="267" max="267" width="9.109375" bestFit="1" customWidth="1"/>
    <col min="268" max="268" width="9.21875" bestFit="1" customWidth="1"/>
    <col min="269" max="269" width="6.88671875" bestFit="1" customWidth="1"/>
    <col min="270" max="270" width="8.21875" bestFit="1" customWidth="1"/>
    <col min="271" max="271" width="7" bestFit="1" customWidth="1"/>
    <col min="272" max="272" width="9.21875" bestFit="1" customWidth="1"/>
    <col min="273" max="273" width="9.109375" bestFit="1" customWidth="1"/>
    <col min="274" max="274" width="9.21875" bestFit="1" customWidth="1"/>
    <col min="275" max="275" width="9.44140625" bestFit="1" customWidth="1"/>
    <col min="276" max="276" width="6.88671875" bestFit="1" customWidth="1"/>
    <col min="277" max="277" width="9.21875" bestFit="1" customWidth="1"/>
    <col min="278" max="278" width="9.109375" bestFit="1" customWidth="1"/>
    <col min="279" max="279" width="8.21875" bestFit="1" customWidth="1"/>
    <col min="280" max="280" width="9.44140625" bestFit="1" customWidth="1"/>
    <col min="281" max="281" width="8.44140625" bestFit="1" customWidth="1"/>
    <col min="282" max="282" width="9.21875" bestFit="1" customWidth="1"/>
    <col min="283" max="283" width="9.109375" bestFit="1" customWidth="1"/>
    <col min="284" max="284" width="9.21875" bestFit="1" customWidth="1"/>
    <col min="285" max="285" width="9.44140625" bestFit="1" customWidth="1"/>
    <col min="286" max="286" width="9.21875" bestFit="1" customWidth="1"/>
    <col min="287" max="287" width="8.44140625" bestFit="1" customWidth="1"/>
    <col min="288" max="288" width="9.21875" bestFit="1" customWidth="1"/>
    <col min="289" max="289" width="7" bestFit="1" customWidth="1"/>
    <col min="290" max="290" width="9.21875" bestFit="1" customWidth="1"/>
    <col min="291" max="291" width="9.109375" bestFit="1" customWidth="1"/>
    <col min="292" max="292" width="9.21875" bestFit="1" customWidth="1"/>
    <col min="293" max="293" width="9.44140625" bestFit="1" customWidth="1"/>
    <col min="294" max="294" width="9.21875" bestFit="1" customWidth="1"/>
    <col min="295" max="295" width="8.44140625" bestFit="1" customWidth="1"/>
    <col min="296" max="296" width="9.21875" bestFit="1" customWidth="1"/>
    <col min="297" max="297" width="9.109375" bestFit="1" customWidth="1"/>
    <col min="298" max="298" width="9.21875" bestFit="1" customWidth="1"/>
    <col min="299" max="299" width="8.44140625" bestFit="1" customWidth="1"/>
    <col min="300" max="300" width="9.21875" bestFit="1" customWidth="1"/>
    <col min="301" max="301" width="7" bestFit="1" customWidth="1"/>
    <col min="302" max="302" width="9.21875" bestFit="1" customWidth="1"/>
    <col min="303" max="303" width="9.109375" bestFit="1" customWidth="1"/>
    <col min="304" max="304" width="8.21875" bestFit="1" customWidth="1"/>
    <col min="305" max="305" width="7" bestFit="1" customWidth="1"/>
    <col min="306" max="306" width="9.21875" bestFit="1" customWidth="1"/>
    <col min="307" max="307" width="7" bestFit="1" customWidth="1"/>
    <col min="308" max="308" width="9.21875" bestFit="1" customWidth="1"/>
    <col min="309" max="309" width="7" bestFit="1" customWidth="1"/>
    <col min="310" max="310" width="8.44140625" bestFit="1" customWidth="1"/>
    <col min="311" max="311" width="9.21875" bestFit="1" customWidth="1"/>
    <col min="312" max="312" width="9.44140625" bestFit="1" customWidth="1"/>
    <col min="313" max="313" width="9.21875" bestFit="1" customWidth="1"/>
    <col min="314" max="314" width="9.109375" bestFit="1" customWidth="1"/>
    <col min="315" max="315" width="9.21875" bestFit="1" customWidth="1"/>
    <col min="316" max="316" width="7" bestFit="1" customWidth="1"/>
    <col min="317" max="317" width="9.21875" bestFit="1" customWidth="1"/>
    <col min="318" max="318" width="7" bestFit="1" customWidth="1"/>
    <col min="319" max="319" width="9.21875" bestFit="1" customWidth="1"/>
    <col min="320" max="320" width="7" bestFit="1" customWidth="1"/>
    <col min="321" max="321" width="9.21875" bestFit="1" customWidth="1"/>
    <col min="322" max="322" width="9.44140625" bestFit="1" customWidth="1"/>
    <col min="323" max="323" width="9.21875" bestFit="1" customWidth="1"/>
    <col min="324" max="324" width="8.44140625" bestFit="1" customWidth="1"/>
    <col min="325" max="325" width="9.21875" bestFit="1" customWidth="1"/>
    <col min="326" max="326" width="9.109375" bestFit="1" customWidth="1"/>
    <col min="327" max="327" width="8.21875" bestFit="1" customWidth="1"/>
    <col min="328" max="328" width="8.44140625" bestFit="1" customWidth="1"/>
    <col min="329" max="329" width="9.21875" bestFit="1" customWidth="1"/>
    <col min="330" max="330" width="9.44140625" bestFit="1" customWidth="1"/>
    <col min="331" max="331" width="9.21875" bestFit="1" customWidth="1"/>
    <col min="332" max="332" width="9.109375" bestFit="1" customWidth="1"/>
    <col min="333" max="333" width="9.21875" bestFit="1" customWidth="1"/>
    <col min="334" max="334" width="9.44140625" bestFit="1" customWidth="1"/>
    <col min="335" max="335" width="8.44140625" bestFit="1" customWidth="1"/>
    <col min="336" max="336" width="8.21875" bestFit="1" customWidth="1"/>
    <col min="337" max="337" width="8.44140625" bestFit="1" customWidth="1"/>
    <col min="338" max="338" width="9.21875" bestFit="1" customWidth="1"/>
    <col min="339" max="339" width="8.44140625" bestFit="1" customWidth="1"/>
    <col min="340" max="340" width="9.21875" bestFit="1" customWidth="1"/>
    <col min="341" max="341" width="9.109375" bestFit="1" customWidth="1"/>
    <col min="342" max="342" width="9.21875" bestFit="1" customWidth="1"/>
    <col min="343" max="343" width="9.44140625" bestFit="1" customWidth="1"/>
    <col min="344" max="344" width="9.21875" bestFit="1" customWidth="1"/>
    <col min="345" max="345" width="8.44140625" bestFit="1" customWidth="1"/>
    <col min="346" max="346" width="9.21875" bestFit="1" customWidth="1"/>
    <col min="347" max="347" width="9.44140625" bestFit="1" customWidth="1"/>
    <col min="348" max="348" width="9.21875" bestFit="1" customWidth="1"/>
    <col min="349" max="349" width="9.109375" bestFit="1" customWidth="1"/>
    <col min="350" max="350" width="9.21875" bestFit="1" customWidth="1"/>
    <col min="351" max="351" width="9.109375" bestFit="1" customWidth="1"/>
    <col min="352" max="352" width="8.21875" bestFit="1" customWidth="1"/>
    <col min="353" max="353" width="9.44140625" bestFit="1" customWidth="1"/>
    <col min="354" max="354" width="9.21875" bestFit="1" customWidth="1"/>
    <col min="355" max="355" width="9.44140625" bestFit="1" customWidth="1"/>
    <col min="356" max="356" width="6.88671875" bestFit="1" customWidth="1"/>
    <col min="357" max="357" width="9.21875" bestFit="1" customWidth="1"/>
    <col min="358" max="358" width="8.44140625" bestFit="1" customWidth="1"/>
    <col min="359" max="359" width="8.21875" bestFit="1" customWidth="1"/>
    <col min="360" max="360" width="9.44140625" bestFit="1" customWidth="1"/>
    <col min="361" max="361" width="9.21875" bestFit="1" customWidth="1"/>
    <col min="362" max="362" width="9.109375" bestFit="1" customWidth="1"/>
    <col min="363" max="363" width="9.21875" bestFit="1" customWidth="1"/>
    <col min="364" max="364" width="8.44140625" bestFit="1" customWidth="1"/>
    <col min="365" max="365" width="8.21875" bestFit="1" customWidth="1"/>
    <col min="366" max="366" width="9.44140625" bestFit="1" customWidth="1"/>
    <col min="367" max="367" width="9.21875" bestFit="1" customWidth="1"/>
    <col min="368" max="368" width="7" bestFit="1" customWidth="1"/>
    <col min="369" max="369" width="9.21875" bestFit="1" customWidth="1"/>
    <col min="370" max="370" width="9.109375" bestFit="1" customWidth="1"/>
    <col min="371" max="371" width="9.21875" bestFit="1" customWidth="1"/>
    <col min="372" max="372" width="8.44140625" bestFit="1" customWidth="1"/>
    <col min="373" max="373" width="9.21875" bestFit="1" customWidth="1"/>
    <col min="374" max="374" width="10.77734375" bestFit="1" customWidth="1"/>
  </cols>
  <sheetData>
    <row r="1" spans="1:9" ht="15" thickBot="1" x14ac:dyDescent="0.35">
      <c r="A1" s="1" t="s">
        <v>0</v>
      </c>
      <c r="B1" s="2" t="s">
        <v>4</v>
      </c>
      <c r="C1" s="26" t="s">
        <v>5</v>
      </c>
      <c r="G1" s="21" t="s">
        <v>0</v>
      </c>
      <c r="H1" s="20" t="s">
        <v>19</v>
      </c>
      <c r="I1" s="22" t="s">
        <v>20</v>
      </c>
    </row>
    <row r="2" spans="1:9" ht="15" thickTop="1" x14ac:dyDescent="0.3">
      <c r="A2" s="3" t="s">
        <v>6</v>
      </c>
      <c r="B2" s="4">
        <v>8.06</v>
      </c>
      <c r="C2" s="27">
        <v>5904</v>
      </c>
      <c r="G2" s="23" t="s">
        <v>6</v>
      </c>
      <c r="H2" s="19">
        <f>SUMIF(A:A,"Instagram",B:B)</f>
        <v>285.78000000000003</v>
      </c>
      <c r="I2" s="31">
        <f>SUMIF(A:A,"Instagram",C:C)</f>
        <v>1164373</v>
      </c>
    </row>
    <row r="3" spans="1:9" x14ac:dyDescent="0.3">
      <c r="A3" s="5" t="s">
        <v>7</v>
      </c>
      <c r="B3" s="6">
        <v>4.9800000000000004</v>
      </c>
      <c r="C3" s="28">
        <v>9566</v>
      </c>
      <c r="G3" s="23"/>
      <c r="H3" s="19"/>
      <c r="I3" s="31"/>
    </row>
    <row r="4" spans="1:9" x14ac:dyDescent="0.3">
      <c r="A4" s="7" t="s">
        <v>8</v>
      </c>
      <c r="B4" s="8">
        <v>8.31</v>
      </c>
      <c r="C4" s="29">
        <v>26752</v>
      </c>
      <c r="G4" s="23" t="s">
        <v>7</v>
      </c>
      <c r="H4" s="19">
        <f>SUMIF(A:A,"Facebook",B:B)</f>
        <v>282.43</v>
      </c>
      <c r="I4" s="31">
        <f>SUMIF(A:A,"Facebook",C:C)</f>
        <v>1379539</v>
      </c>
    </row>
    <row r="5" spans="1:9" x14ac:dyDescent="0.3">
      <c r="A5" s="5" t="s">
        <v>9</v>
      </c>
      <c r="B5" s="6">
        <v>4.1100000000000003</v>
      </c>
      <c r="C5" s="28">
        <v>30671</v>
      </c>
      <c r="G5" s="23"/>
      <c r="H5" s="19"/>
      <c r="I5" s="31"/>
    </row>
    <row r="6" spans="1:9" x14ac:dyDescent="0.3">
      <c r="A6" s="7" t="s">
        <v>6</v>
      </c>
      <c r="B6" s="8">
        <v>9.0500000000000007</v>
      </c>
      <c r="C6" s="29">
        <v>9920</v>
      </c>
      <c r="G6" s="23" t="s">
        <v>8</v>
      </c>
      <c r="H6" s="19">
        <f>SUMIF(A:A,"Twitter",B:B)</f>
        <v>282.79000000000002</v>
      </c>
      <c r="I6" s="31">
        <f>SUMIF(A:A,"Twitter",C:C)</f>
        <v>1060357</v>
      </c>
    </row>
    <row r="7" spans="1:9" x14ac:dyDescent="0.3">
      <c r="A7" s="5" t="s">
        <v>7</v>
      </c>
      <c r="B7" s="6">
        <v>2.37</v>
      </c>
      <c r="C7" s="28">
        <v>7924</v>
      </c>
      <c r="G7" s="23"/>
      <c r="H7" s="19"/>
      <c r="I7" s="31"/>
    </row>
    <row r="8" spans="1:9" x14ac:dyDescent="0.3">
      <c r="A8" s="7" t="s">
        <v>8</v>
      </c>
      <c r="B8" s="8">
        <v>4.01</v>
      </c>
      <c r="C8" s="29">
        <v>8912</v>
      </c>
      <c r="G8" s="24" t="s">
        <v>18</v>
      </c>
      <c r="H8" s="25">
        <f>SUMIF(A:A,"Youtube",B:B)</f>
        <v>277.94</v>
      </c>
      <c r="I8" s="32">
        <f>SUMIF(A:A,"Youtube",C:C)</f>
        <v>1228647</v>
      </c>
    </row>
    <row r="9" spans="1:9" x14ac:dyDescent="0.3">
      <c r="A9" s="5" t="s">
        <v>9</v>
      </c>
      <c r="B9" s="6">
        <v>3.16</v>
      </c>
      <c r="C9" s="28">
        <v>21205</v>
      </c>
      <c r="G9" s="20"/>
    </row>
    <row r="10" spans="1:9" x14ac:dyDescent="0.3">
      <c r="A10" s="7" t="s">
        <v>6</v>
      </c>
      <c r="B10" s="8">
        <v>2.46</v>
      </c>
      <c r="C10" s="29">
        <v>11329</v>
      </c>
    </row>
    <row r="11" spans="1:9" x14ac:dyDescent="0.3">
      <c r="A11" s="5" t="s">
        <v>7</v>
      </c>
      <c r="B11" s="6">
        <v>8.11</v>
      </c>
      <c r="C11" s="28">
        <v>46670</v>
      </c>
    </row>
    <row r="12" spans="1:9" x14ac:dyDescent="0.3">
      <c r="A12" s="7" t="s">
        <v>8</v>
      </c>
      <c r="B12" s="8">
        <v>8.19</v>
      </c>
      <c r="C12" s="29">
        <v>22482</v>
      </c>
    </row>
    <row r="13" spans="1:9" x14ac:dyDescent="0.3">
      <c r="A13" s="5" t="s">
        <v>9</v>
      </c>
      <c r="B13" s="6">
        <v>3.49</v>
      </c>
      <c r="C13" s="28">
        <v>24313</v>
      </c>
    </row>
    <row r="14" spans="1:9" x14ac:dyDescent="0.3">
      <c r="A14" s="7" t="s">
        <v>6</v>
      </c>
      <c r="B14" s="8">
        <v>6.92</v>
      </c>
      <c r="C14" s="29">
        <v>18050</v>
      </c>
    </row>
    <row r="15" spans="1:9" x14ac:dyDescent="0.3">
      <c r="A15" s="5" t="s">
        <v>7</v>
      </c>
      <c r="B15" s="6">
        <v>9.1199999999999992</v>
      </c>
      <c r="C15" s="28">
        <v>30635</v>
      </c>
    </row>
    <row r="16" spans="1:9" x14ac:dyDescent="0.3">
      <c r="A16" s="7" t="s">
        <v>8</v>
      </c>
      <c r="B16" s="8">
        <v>3.5</v>
      </c>
      <c r="C16" s="29">
        <v>31280</v>
      </c>
    </row>
    <row r="17" spans="1:3" x14ac:dyDescent="0.3">
      <c r="A17" s="5" t="s">
        <v>9</v>
      </c>
      <c r="B17" s="6">
        <v>2.62</v>
      </c>
      <c r="C17" s="28">
        <v>1783</v>
      </c>
    </row>
    <row r="18" spans="1:3" x14ac:dyDescent="0.3">
      <c r="A18" s="7" t="s">
        <v>6</v>
      </c>
      <c r="B18" s="8">
        <v>9.36</v>
      </c>
      <c r="C18" s="29">
        <v>9566</v>
      </c>
    </row>
    <row r="19" spans="1:3" x14ac:dyDescent="0.3">
      <c r="A19" s="5" t="s">
        <v>7</v>
      </c>
      <c r="B19" s="6">
        <v>4.4800000000000004</v>
      </c>
      <c r="C19" s="28">
        <v>42307</v>
      </c>
    </row>
    <row r="20" spans="1:3" x14ac:dyDescent="0.3">
      <c r="A20" s="7" t="s">
        <v>8</v>
      </c>
      <c r="B20" s="8">
        <v>6.19</v>
      </c>
      <c r="C20" s="29">
        <v>5914</v>
      </c>
    </row>
    <row r="21" spans="1:3" x14ac:dyDescent="0.3">
      <c r="A21" s="5" t="s">
        <v>9</v>
      </c>
      <c r="B21" s="6">
        <v>8.7200000000000006</v>
      </c>
      <c r="C21" s="28">
        <v>30060</v>
      </c>
    </row>
    <row r="22" spans="1:3" x14ac:dyDescent="0.3">
      <c r="A22" s="7" t="s">
        <v>6</v>
      </c>
      <c r="B22" s="8">
        <v>8.74</v>
      </c>
      <c r="C22" s="29">
        <v>22728</v>
      </c>
    </row>
    <row r="23" spans="1:3" x14ac:dyDescent="0.3">
      <c r="A23" s="5" t="s">
        <v>7</v>
      </c>
      <c r="B23" s="6">
        <v>1.91</v>
      </c>
      <c r="C23" s="28">
        <v>38610</v>
      </c>
    </row>
    <row r="24" spans="1:3" x14ac:dyDescent="0.3">
      <c r="A24" s="7" t="s">
        <v>8</v>
      </c>
      <c r="B24" s="8">
        <v>4.66</v>
      </c>
      <c r="C24" s="29">
        <v>2932</v>
      </c>
    </row>
    <row r="25" spans="1:3" x14ac:dyDescent="0.3">
      <c r="A25" s="5" t="s">
        <v>9</v>
      </c>
      <c r="B25" s="6">
        <v>2.88</v>
      </c>
      <c r="C25" s="28">
        <v>15071</v>
      </c>
    </row>
    <row r="26" spans="1:3" x14ac:dyDescent="0.3">
      <c r="A26" s="7" t="s">
        <v>6</v>
      </c>
      <c r="B26" s="8">
        <v>3.74</v>
      </c>
      <c r="C26" s="29">
        <v>10740</v>
      </c>
    </row>
    <row r="27" spans="1:3" x14ac:dyDescent="0.3">
      <c r="A27" s="5" t="s">
        <v>7</v>
      </c>
      <c r="B27" s="6">
        <v>6.44</v>
      </c>
      <c r="C27" s="28">
        <v>43420</v>
      </c>
    </row>
    <row r="28" spans="1:3" x14ac:dyDescent="0.3">
      <c r="A28" s="7" t="s">
        <v>8</v>
      </c>
      <c r="B28" s="8">
        <v>8.56</v>
      </c>
      <c r="C28" s="29">
        <v>32393</v>
      </c>
    </row>
    <row r="29" spans="1:3" x14ac:dyDescent="0.3">
      <c r="A29" s="5" t="s">
        <v>9</v>
      </c>
      <c r="B29" s="6">
        <v>4.5599999999999996</v>
      </c>
      <c r="C29" s="28">
        <v>28474</v>
      </c>
    </row>
    <row r="30" spans="1:3" x14ac:dyDescent="0.3">
      <c r="A30" s="7" t="s">
        <v>6</v>
      </c>
      <c r="B30" s="8">
        <v>7.88</v>
      </c>
      <c r="C30" s="29">
        <v>17328</v>
      </c>
    </row>
    <row r="31" spans="1:3" x14ac:dyDescent="0.3">
      <c r="A31" s="5" t="s">
        <v>7</v>
      </c>
      <c r="B31" s="6">
        <v>7.86</v>
      </c>
      <c r="C31" s="28">
        <v>26067</v>
      </c>
    </row>
    <row r="32" spans="1:3" x14ac:dyDescent="0.3">
      <c r="A32" s="7" t="s">
        <v>8</v>
      </c>
      <c r="B32" s="8">
        <v>5.34</v>
      </c>
      <c r="C32" s="29">
        <v>32763</v>
      </c>
    </row>
    <row r="33" spans="1:3" x14ac:dyDescent="0.3">
      <c r="A33" s="5" t="s">
        <v>9</v>
      </c>
      <c r="B33" s="6">
        <v>5.52</v>
      </c>
      <c r="C33" s="28">
        <v>26452</v>
      </c>
    </row>
    <row r="34" spans="1:3" x14ac:dyDescent="0.3">
      <c r="A34" s="7" t="s">
        <v>6</v>
      </c>
      <c r="B34" s="8">
        <v>4.05</v>
      </c>
      <c r="C34" s="29">
        <v>15353</v>
      </c>
    </row>
    <row r="35" spans="1:3" x14ac:dyDescent="0.3">
      <c r="A35" s="5" t="s">
        <v>7</v>
      </c>
      <c r="B35" s="6">
        <v>7.73</v>
      </c>
      <c r="C35" s="28">
        <v>4839</v>
      </c>
    </row>
    <row r="36" spans="1:3" x14ac:dyDescent="0.3">
      <c r="A36" s="7" t="s">
        <v>8</v>
      </c>
      <c r="B36" s="8">
        <v>4.3600000000000003</v>
      </c>
      <c r="C36" s="29">
        <v>39272</v>
      </c>
    </row>
    <row r="37" spans="1:3" x14ac:dyDescent="0.3">
      <c r="A37" s="5" t="s">
        <v>9</v>
      </c>
      <c r="B37" s="6">
        <v>3.48</v>
      </c>
      <c r="C37" s="28">
        <v>16804</v>
      </c>
    </row>
    <row r="38" spans="1:3" x14ac:dyDescent="0.3">
      <c r="A38" s="7" t="s">
        <v>6</v>
      </c>
      <c r="B38" s="8">
        <v>7.83</v>
      </c>
      <c r="C38" s="29">
        <v>49303</v>
      </c>
    </row>
    <row r="39" spans="1:3" x14ac:dyDescent="0.3">
      <c r="A39" s="5" t="s">
        <v>7</v>
      </c>
      <c r="B39" s="6">
        <v>6.11</v>
      </c>
      <c r="C39" s="28">
        <v>26455</v>
      </c>
    </row>
    <row r="40" spans="1:3" x14ac:dyDescent="0.3">
      <c r="A40" s="7" t="s">
        <v>8</v>
      </c>
      <c r="B40" s="8">
        <v>9.43</v>
      </c>
      <c r="C40" s="29">
        <v>12384</v>
      </c>
    </row>
    <row r="41" spans="1:3" x14ac:dyDescent="0.3">
      <c r="A41" s="5" t="s">
        <v>9</v>
      </c>
      <c r="B41" s="6">
        <v>4.04</v>
      </c>
      <c r="C41" s="28">
        <v>49372</v>
      </c>
    </row>
    <row r="42" spans="1:3" x14ac:dyDescent="0.3">
      <c r="A42" s="7" t="s">
        <v>6</v>
      </c>
      <c r="B42" s="8">
        <v>6.23</v>
      </c>
      <c r="C42" s="29">
        <v>47101</v>
      </c>
    </row>
    <row r="43" spans="1:3" x14ac:dyDescent="0.3">
      <c r="A43" s="5" t="s">
        <v>7</v>
      </c>
      <c r="B43" s="6">
        <v>6.01</v>
      </c>
      <c r="C43" s="28">
        <v>37903</v>
      </c>
    </row>
    <row r="44" spans="1:3" x14ac:dyDescent="0.3">
      <c r="A44" s="7" t="s">
        <v>8</v>
      </c>
      <c r="B44" s="8">
        <v>8.5500000000000007</v>
      </c>
      <c r="C44" s="29">
        <v>33258</v>
      </c>
    </row>
    <row r="45" spans="1:3" x14ac:dyDescent="0.3">
      <c r="A45" s="5" t="s">
        <v>9</v>
      </c>
      <c r="B45" s="6">
        <v>5.42</v>
      </c>
      <c r="C45" s="28">
        <v>6915</v>
      </c>
    </row>
    <row r="46" spans="1:3" x14ac:dyDescent="0.3">
      <c r="A46" s="7" t="s">
        <v>6</v>
      </c>
      <c r="B46" s="8">
        <v>3.25</v>
      </c>
      <c r="C46" s="29">
        <v>35501</v>
      </c>
    </row>
    <row r="47" spans="1:3" x14ac:dyDescent="0.3">
      <c r="A47" s="5" t="s">
        <v>7</v>
      </c>
      <c r="B47" s="6">
        <v>8.84</v>
      </c>
      <c r="C47" s="28">
        <v>14203</v>
      </c>
    </row>
    <row r="48" spans="1:3" x14ac:dyDescent="0.3">
      <c r="A48" s="7" t="s">
        <v>8</v>
      </c>
      <c r="B48" s="8">
        <v>7.24</v>
      </c>
      <c r="C48" s="29">
        <v>22206</v>
      </c>
    </row>
    <row r="49" spans="1:3" x14ac:dyDescent="0.3">
      <c r="A49" s="5" t="s">
        <v>9</v>
      </c>
      <c r="B49" s="6">
        <v>6.19</v>
      </c>
      <c r="C49" s="28">
        <v>10283</v>
      </c>
    </row>
    <row r="50" spans="1:3" x14ac:dyDescent="0.3">
      <c r="A50" s="7" t="s">
        <v>6</v>
      </c>
      <c r="B50" s="8">
        <v>5.71</v>
      </c>
      <c r="C50" s="29">
        <v>24913</v>
      </c>
    </row>
    <row r="51" spans="1:3" x14ac:dyDescent="0.3">
      <c r="A51" s="5" t="s">
        <v>7</v>
      </c>
      <c r="B51" s="6">
        <v>9.0399999999999991</v>
      </c>
      <c r="C51" s="28">
        <v>26925</v>
      </c>
    </row>
    <row r="52" spans="1:3" x14ac:dyDescent="0.3">
      <c r="A52" s="7" t="s">
        <v>8</v>
      </c>
      <c r="B52" s="8">
        <v>3.91</v>
      </c>
      <c r="C52" s="29">
        <v>9942</v>
      </c>
    </row>
    <row r="53" spans="1:3" x14ac:dyDescent="0.3">
      <c r="A53" s="5" t="s">
        <v>9</v>
      </c>
      <c r="B53" s="6">
        <v>7.83</v>
      </c>
      <c r="C53" s="28">
        <v>32929</v>
      </c>
    </row>
    <row r="54" spans="1:3" x14ac:dyDescent="0.3">
      <c r="A54" s="7" t="s">
        <v>6</v>
      </c>
      <c r="B54" s="8">
        <v>7.16</v>
      </c>
      <c r="C54" s="29">
        <v>37829</v>
      </c>
    </row>
    <row r="55" spans="1:3" x14ac:dyDescent="0.3">
      <c r="A55" s="5" t="s">
        <v>7</v>
      </c>
      <c r="B55" s="6">
        <v>6.41</v>
      </c>
      <c r="C55" s="28">
        <v>24384</v>
      </c>
    </row>
    <row r="56" spans="1:3" x14ac:dyDescent="0.3">
      <c r="A56" s="7" t="s">
        <v>8</v>
      </c>
      <c r="B56" s="8">
        <v>8.02</v>
      </c>
      <c r="C56" s="29">
        <v>25797</v>
      </c>
    </row>
    <row r="57" spans="1:3" x14ac:dyDescent="0.3">
      <c r="A57" s="5" t="s">
        <v>9</v>
      </c>
      <c r="B57" s="6">
        <v>3.86</v>
      </c>
      <c r="C57" s="28">
        <v>12646</v>
      </c>
    </row>
    <row r="58" spans="1:3" x14ac:dyDescent="0.3">
      <c r="A58" s="7" t="s">
        <v>6</v>
      </c>
      <c r="B58" s="8">
        <v>9.09</v>
      </c>
      <c r="C58" s="29">
        <v>26663</v>
      </c>
    </row>
    <row r="59" spans="1:3" x14ac:dyDescent="0.3">
      <c r="A59" s="5" t="s">
        <v>7</v>
      </c>
      <c r="B59" s="6">
        <v>1.76</v>
      </c>
      <c r="C59" s="28">
        <v>40478</v>
      </c>
    </row>
    <row r="60" spans="1:3" x14ac:dyDescent="0.3">
      <c r="A60" s="7" t="s">
        <v>8</v>
      </c>
      <c r="B60" s="8">
        <v>9.24</v>
      </c>
      <c r="C60" s="29">
        <v>15476</v>
      </c>
    </row>
    <row r="61" spans="1:3" x14ac:dyDescent="0.3">
      <c r="A61" s="5" t="s">
        <v>9</v>
      </c>
      <c r="B61" s="6">
        <v>8.99</v>
      </c>
      <c r="C61" s="28">
        <v>10217</v>
      </c>
    </row>
    <row r="62" spans="1:3" x14ac:dyDescent="0.3">
      <c r="A62" s="7" t="s">
        <v>6</v>
      </c>
      <c r="B62" s="8">
        <v>3.4</v>
      </c>
      <c r="C62" s="29">
        <v>21939</v>
      </c>
    </row>
    <row r="63" spans="1:3" x14ac:dyDescent="0.3">
      <c r="A63" s="5" t="s">
        <v>7</v>
      </c>
      <c r="B63" s="6">
        <v>9.1999999999999993</v>
      </c>
      <c r="C63" s="28">
        <v>47462</v>
      </c>
    </row>
    <row r="64" spans="1:3" x14ac:dyDescent="0.3">
      <c r="A64" s="7" t="s">
        <v>8</v>
      </c>
      <c r="B64" s="8">
        <v>8.59</v>
      </c>
      <c r="C64" s="29">
        <v>30270</v>
      </c>
    </row>
    <row r="65" spans="1:3" x14ac:dyDescent="0.3">
      <c r="A65" s="5" t="s">
        <v>9</v>
      </c>
      <c r="B65" s="6">
        <v>3.5</v>
      </c>
      <c r="C65" s="28">
        <v>5442</v>
      </c>
    </row>
    <row r="66" spans="1:3" x14ac:dyDescent="0.3">
      <c r="A66" s="7" t="s">
        <v>6</v>
      </c>
      <c r="B66" s="8">
        <v>2.36</v>
      </c>
      <c r="C66" s="29">
        <v>1083</v>
      </c>
    </row>
    <row r="67" spans="1:3" x14ac:dyDescent="0.3">
      <c r="A67" s="5" t="s">
        <v>7</v>
      </c>
      <c r="B67" s="6">
        <v>7.36</v>
      </c>
      <c r="C67" s="28">
        <v>11901</v>
      </c>
    </row>
    <row r="68" spans="1:3" x14ac:dyDescent="0.3">
      <c r="A68" s="7" t="s">
        <v>8</v>
      </c>
      <c r="B68" s="8">
        <v>8.5500000000000007</v>
      </c>
      <c r="C68" s="29">
        <v>24018</v>
      </c>
    </row>
    <row r="69" spans="1:3" x14ac:dyDescent="0.3">
      <c r="A69" s="5" t="s">
        <v>9</v>
      </c>
      <c r="B69" s="6">
        <v>8.1300000000000008</v>
      </c>
      <c r="C69" s="28">
        <v>38883</v>
      </c>
    </row>
    <row r="70" spans="1:3" x14ac:dyDescent="0.3">
      <c r="A70" s="7" t="s">
        <v>6</v>
      </c>
      <c r="B70" s="8">
        <v>3.3</v>
      </c>
      <c r="C70" s="29">
        <v>30575</v>
      </c>
    </row>
    <row r="71" spans="1:3" x14ac:dyDescent="0.3">
      <c r="A71" s="5" t="s">
        <v>7</v>
      </c>
      <c r="B71" s="6">
        <v>1.77</v>
      </c>
      <c r="C71" s="28">
        <v>2315</v>
      </c>
    </row>
    <row r="72" spans="1:3" x14ac:dyDescent="0.3">
      <c r="A72" s="7" t="s">
        <v>8</v>
      </c>
      <c r="B72" s="8">
        <v>2.09</v>
      </c>
      <c r="C72" s="29">
        <v>12148</v>
      </c>
    </row>
    <row r="73" spans="1:3" x14ac:dyDescent="0.3">
      <c r="A73" s="5" t="s">
        <v>9</v>
      </c>
      <c r="B73" s="6">
        <v>7.36</v>
      </c>
      <c r="C73" s="28">
        <v>36851</v>
      </c>
    </row>
    <row r="74" spans="1:3" x14ac:dyDescent="0.3">
      <c r="A74" s="7" t="s">
        <v>6</v>
      </c>
      <c r="B74" s="8">
        <v>6.25</v>
      </c>
      <c r="C74" s="29">
        <v>41215</v>
      </c>
    </row>
    <row r="75" spans="1:3" x14ac:dyDescent="0.3">
      <c r="A75" s="5" t="s">
        <v>7</v>
      </c>
      <c r="B75" s="6">
        <v>1.75</v>
      </c>
      <c r="C75" s="28">
        <v>43836</v>
      </c>
    </row>
    <row r="76" spans="1:3" x14ac:dyDescent="0.3">
      <c r="A76" s="7" t="s">
        <v>8</v>
      </c>
      <c r="B76" s="8">
        <v>4.97</v>
      </c>
      <c r="C76" s="29">
        <v>4509</v>
      </c>
    </row>
    <row r="77" spans="1:3" x14ac:dyDescent="0.3">
      <c r="A77" s="5" t="s">
        <v>9</v>
      </c>
      <c r="B77" s="6">
        <v>9.3000000000000007</v>
      </c>
      <c r="C77" s="28">
        <v>27822</v>
      </c>
    </row>
    <row r="78" spans="1:3" x14ac:dyDescent="0.3">
      <c r="A78" s="7" t="s">
        <v>6</v>
      </c>
      <c r="B78" s="8">
        <v>8.9</v>
      </c>
      <c r="C78" s="29">
        <v>36397</v>
      </c>
    </row>
    <row r="79" spans="1:3" x14ac:dyDescent="0.3">
      <c r="A79" s="5" t="s">
        <v>7</v>
      </c>
      <c r="B79" s="6">
        <v>3.88</v>
      </c>
      <c r="C79" s="28">
        <v>7285</v>
      </c>
    </row>
    <row r="80" spans="1:3" x14ac:dyDescent="0.3">
      <c r="A80" s="7" t="s">
        <v>8</v>
      </c>
      <c r="B80" s="8">
        <v>5.9</v>
      </c>
      <c r="C80" s="29">
        <v>33174</v>
      </c>
    </row>
    <row r="81" spans="1:3" x14ac:dyDescent="0.3">
      <c r="A81" s="5" t="s">
        <v>9</v>
      </c>
      <c r="B81" s="6">
        <v>1.53</v>
      </c>
      <c r="C81" s="28">
        <v>6742</v>
      </c>
    </row>
    <row r="82" spans="1:3" x14ac:dyDescent="0.3">
      <c r="A82" s="7" t="s">
        <v>6</v>
      </c>
      <c r="B82" s="8">
        <v>6.5</v>
      </c>
      <c r="C82" s="29">
        <v>32478</v>
      </c>
    </row>
    <row r="83" spans="1:3" x14ac:dyDescent="0.3">
      <c r="A83" s="5" t="s">
        <v>7</v>
      </c>
      <c r="B83" s="6">
        <v>3.16</v>
      </c>
      <c r="C83" s="28">
        <v>42824</v>
      </c>
    </row>
    <row r="84" spans="1:3" x14ac:dyDescent="0.3">
      <c r="A84" s="7" t="s">
        <v>8</v>
      </c>
      <c r="B84" s="8">
        <v>8.25</v>
      </c>
      <c r="C84" s="29">
        <v>21208</v>
      </c>
    </row>
    <row r="85" spans="1:3" x14ac:dyDescent="0.3">
      <c r="A85" s="5" t="s">
        <v>9</v>
      </c>
      <c r="B85" s="6">
        <v>5.41</v>
      </c>
      <c r="C85" s="28">
        <v>44321</v>
      </c>
    </row>
    <row r="86" spans="1:3" x14ac:dyDescent="0.3">
      <c r="A86" s="7" t="s">
        <v>6</v>
      </c>
      <c r="B86" s="8">
        <v>5.85</v>
      </c>
      <c r="C86" s="29">
        <v>13116</v>
      </c>
    </row>
    <row r="87" spans="1:3" x14ac:dyDescent="0.3">
      <c r="A87" s="5" t="s">
        <v>7</v>
      </c>
      <c r="B87" s="6">
        <v>4.46</v>
      </c>
      <c r="C87" s="28">
        <v>30214</v>
      </c>
    </row>
    <row r="88" spans="1:3" x14ac:dyDescent="0.3">
      <c r="A88" s="7" t="s">
        <v>8</v>
      </c>
      <c r="B88" s="8">
        <v>5.22</v>
      </c>
      <c r="C88" s="29">
        <v>15827</v>
      </c>
    </row>
    <row r="89" spans="1:3" x14ac:dyDescent="0.3">
      <c r="A89" s="5" t="s">
        <v>9</v>
      </c>
      <c r="B89" s="6">
        <v>1.99</v>
      </c>
      <c r="C89" s="28">
        <v>46643</v>
      </c>
    </row>
    <row r="90" spans="1:3" x14ac:dyDescent="0.3">
      <c r="A90" s="7" t="s">
        <v>6</v>
      </c>
      <c r="B90" s="8">
        <v>6.85</v>
      </c>
      <c r="C90" s="29">
        <v>36484</v>
      </c>
    </row>
    <row r="91" spans="1:3" x14ac:dyDescent="0.3">
      <c r="A91" s="5" t="s">
        <v>7</v>
      </c>
      <c r="B91" s="6">
        <v>3.32</v>
      </c>
      <c r="C91" s="28">
        <v>4996</v>
      </c>
    </row>
    <row r="92" spans="1:3" x14ac:dyDescent="0.3">
      <c r="A92" s="7" t="s">
        <v>8</v>
      </c>
      <c r="B92" s="8">
        <v>5.68</v>
      </c>
      <c r="C92" s="29">
        <v>36095</v>
      </c>
    </row>
    <row r="93" spans="1:3" x14ac:dyDescent="0.3">
      <c r="A93" s="5" t="s">
        <v>9</v>
      </c>
      <c r="B93" s="6">
        <v>6.08</v>
      </c>
      <c r="C93" s="28">
        <v>16443</v>
      </c>
    </row>
    <row r="94" spans="1:3" x14ac:dyDescent="0.3">
      <c r="A94" s="7" t="s">
        <v>6</v>
      </c>
      <c r="B94" s="8">
        <v>4.66</v>
      </c>
      <c r="C94" s="29">
        <v>47812</v>
      </c>
    </row>
    <row r="95" spans="1:3" x14ac:dyDescent="0.3">
      <c r="A95" s="5" t="s">
        <v>7</v>
      </c>
      <c r="B95" s="6">
        <v>8.6999999999999993</v>
      </c>
      <c r="C95" s="28">
        <v>38452</v>
      </c>
    </row>
    <row r="96" spans="1:3" x14ac:dyDescent="0.3">
      <c r="A96" s="7" t="s">
        <v>8</v>
      </c>
      <c r="B96" s="8">
        <v>2.46</v>
      </c>
      <c r="C96" s="29">
        <v>30428</v>
      </c>
    </row>
    <row r="97" spans="1:3" x14ac:dyDescent="0.3">
      <c r="A97" s="5" t="s">
        <v>9</v>
      </c>
      <c r="B97" s="6">
        <v>7.97</v>
      </c>
      <c r="C97" s="28">
        <v>9269</v>
      </c>
    </row>
    <row r="98" spans="1:3" x14ac:dyDescent="0.3">
      <c r="A98" s="7" t="s">
        <v>6</v>
      </c>
      <c r="B98" s="8">
        <v>9.41</v>
      </c>
      <c r="C98" s="29">
        <v>29533</v>
      </c>
    </row>
    <row r="99" spans="1:3" x14ac:dyDescent="0.3">
      <c r="A99" s="5" t="s">
        <v>7</v>
      </c>
      <c r="B99" s="6">
        <v>2.68</v>
      </c>
      <c r="C99" s="28">
        <v>39997</v>
      </c>
    </row>
    <row r="100" spans="1:3" x14ac:dyDescent="0.3">
      <c r="A100" s="7" t="s">
        <v>8</v>
      </c>
      <c r="B100" s="8">
        <v>7.32</v>
      </c>
      <c r="C100" s="29">
        <v>5391</v>
      </c>
    </row>
    <row r="101" spans="1:3" x14ac:dyDescent="0.3">
      <c r="A101" s="5" t="s">
        <v>9</v>
      </c>
      <c r="B101" s="6">
        <v>4.68</v>
      </c>
      <c r="C101" s="28">
        <v>22373</v>
      </c>
    </row>
    <row r="102" spans="1:3" x14ac:dyDescent="0.3">
      <c r="A102" s="7" t="s">
        <v>6</v>
      </c>
      <c r="B102" s="8">
        <v>5.17</v>
      </c>
      <c r="C102" s="29">
        <v>1810</v>
      </c>
    </row>
    <row r="103" spans="1:3" x14ac:dyDescent="0.3">
      <c r="A103" s="5" t="s">
        <v>7</v>
      </c>
      <c r="B103" s="6">
        <v>6.2</v>
      </c>
      <c r="C103" s="28">
        <v>28498</v>
      </c>
    </row>
    <row r="104" spans="1:3" x14ac:dyDescent="0.3">
      <c r="A104" s="7" t="s">
        <v>8</v>
      </c>
      <c r="B104" s="8">
        <v>2.69</v>
      </c>
      <c r="C104" s="29">
        <v>39530</v>
      </c>
    </row>
    <row r="105" spans="1:3" x14ac:dyDescent="0.3">
      <c r="A105" s="5" t="s">
        <v>9</v>
      </c>
      <c r="B105" s="6">
        <v>8.9</v>
      </c>
      <c r="C105" s="28">
        <v>37876</v>
      </c>
    </row>
    <row r="106" spans="1:3" x14ac:dyDescent="0.3">
      <c r="A106" s="7" t="s">
        <v>6</v>
      </c>
      <c r="B106" s="8">
        <v>3.79</v>
      </c>
      <c r="C106" s="29">
        <v>36103</v>
      </c>
    </row>
    <row r="107" spans="1:3" x14ac:dyDescent="0.3">
      <c r="A107" s="5" t="s">
        <v>7</v>
      </c>
      <c r="B107" s="6">
        <v>4.79</v>
      </c>
      <c r="C107" s="28">
        <v>26103</v>
      </c>
    </row>
    <row r="108" spans="1:3" x14ac:dyDescent="0.3">
      <c r="A108" s="7" t="s">
        <v>8</v>
      </c>
      <c r="B108" s="8">
        <v>6.37</v>
      </c>
      <c r="C108" s="29">
        <v>3455</v>
      </c>
    </row>
    <row r="109" spans="1:3" x14ac:dyDescent="0.3">
      <c r="A109" s="5" t="s">
        <v>9</v>
      </c>
      <c r="B109" s="6">
        <v>2.65</v>
      </c>
      <c r="C109" s="28">
        <v>40888</v>
      </c>
    </row>
    <row r="110" spans="1:3" x14ac:dyDescent="0.3">
      <c r="A110" s="7" t="s">
        <v>6</v>
      </c>
      <c r="B110" s="8">
        <v>1.81</v>
      </c>
      <c r="C110" s="29">
        <v>22724</v>
      </c>
    </row>
    <row r="111" spans="1:3" x14ac:dyDescent="0.3">
      <c r="A111" s="5" t="s">
        <v>7</v>
      </c>
      <c r="B111" s="6">
        <v>7.47</v>
      </c>
      <c r="C111" s="28">
        <v>18601</v>
      </c>
    </row>
    <row r="112" spans="1:3" x14ac:dyDescent="0.3">
      <c r="A112" s="7" t="s">
        <v>8</v>
      </c>
      <c r="B112" s="8">
        <v>4.2</v>
      </c>
      <c r="C112" s="29">
        <v>20861</v>
      </c>
    </row>
    <row r="113" spans="1:3" x14ac:dyDescent="0.3">
      <c r="A113" s="5" t="s">
        <v>9</v>
      </c>
      <c r="B113" s="6">
        <v>5.43</v>
      </c>
      <c r="C113" s="28">
        <v>46625</v>
      </c>
    </row>
    <row r="114" spans="1:3" x14ac:dyDescent="0.3">
      <c r="A114" s="7" t="s">
        <v>6</v>
      </c>
      <c r="B114" s="8">
        <v>3.32</v>
      </c>
      <c r="C114" s="29">
        <v>20692</v>
      </c>
    </row>
    <row r="115" spans="1:3" x14ac:dyDescent="0.3">
      <c r="A115" s="5" t="s">
        <v>7</v>
      </c>
      <c r="B115" s="6">
        <v>8.11</v>
      </c>
      <c r="C115" s="28">
        <v>18656</v>
      </c>
    </row>
    <row r="116" spans="1:3" x14ac:dyDescent="0.3">
      <c r="A116" s="7" t="s">
        <v>8</v>
      </c>
      <c r="B116" s="8">
        <v>6.66</v>
      </c>
      <c r="C116" s="29">
        <v>13316</v>
      </c>
    </row>
    <row r="117" spans="1:3" x14ac:dyDescent="0.3">
      <c r="A117" s="5" t="s">
        <v>9</v>
      </c>
      <c r="B117" s="6">
        <v>8.09</v>
      </c>
      <c r="C117" s="28">
        <v>49558</v>
      </c>
    </row>
    <row r="118" spans="1:3" x14ac:dyDescent="0.3">
      <c r="A118" s="7" t="s">
        <v>6</v>
      </c>
      <c r="B118" s="8">
        <v>8.44</v>
      </c>
      <c r="C118" s="29">
        <v>4683</v>
      </c>
    </row>
    <row r="119" spans="1:3" x14ac:dyDescent="0.3">
      <c r="A119" s="5" t="s">
        <v>7</v>
      </c>
      <c r="B119" s="6">
        <v>2.02</v>
      </c>
      <c r="C119" s="28">
        <v>47502</v>
      </c>
    </row>
    <row r="120" spans="1:3" x14ac:dyDescent="0.3">
      <c r="A120" s="7" t="s">
        <v>8</v>
      </c>
      <c r="B120" s="8">
        <v>7.74</v>
      </c>
      <c r="C120" s="29">
        <v>35359</v>
      </c>
    </row>
    <row r="121" spans="1:3" x14ac:dyDescent="0.3">
      <c r="A121" s="5" t="s">
        <v>9</v>
      </c>
      <c r="B121" s="6">
        <v>2.89</v>
      </c>
      <c r="C121" s="28">
        <v>14154</v>
      </c>
    </row>
    <row r="122" spans="1:3" x14ac:dyDescent="0.3">
      <c r="A122" s="7" t="s">
        <v>6</v>
      </c>
      <c r="B122" s="8">
        <v>1.76</v>
      </c>
      <c r="C122" s="29">
        <v>4313</v>
      </c>
    </row>
    <row r="123" spans="1:3" x14ac:dyDescent="0.3">
      <c r="A123" s="5" t="s">
        <v>7</v>
      </c>
      <c r="B123" s="6">
        <v>3.09</v>
      </c>
      <c r="C123" s="28">
        <v>25140</v>
      </c>
    </row>
    <row r="124" spans="1:3" x14ac:dyDescent="0.3">
      <c r="A124" s="7" t="s">
        <v>8</v>
      </c>
      <c r="B124" s="8">
        <v>4.68</v>
      </c>
      <c r="C124" s="29">
        <v>9118</v>
      </c>
    </row>
    <row r="125" spans="1:3" x14ac:dyDescent="0.3">
      <c r="A125" s="5" t="s">
        <v>9</v>
      </c>
      <c r="B125" s="6">
        <v>4.4800000000000004</v>
      </c>
      <c r="C125" s="28">
        <v>39931</v>
      </c>
    </row>
    <row r="126" spans="1:3" x14ac:dyDescent="0.3">
      <c r="A126" s="7" t="s">
        <v>6</v>
      </c>
      <c r="B126" s="8">
        <v>5.3</v>
      </c>
      <c r="C126" s="29">
        <v>37132</v>
      </c>
    </row>
    <row r="127" spans="1:3" x14ac:dyDescent="0.3">
      <c r="A127" s="5" t="s">
        <v>7</v>
      </c>
      <c r="B127" s="6">
        <v>8.1999999999999993</v>
      </c>
      <c r="C127" s="28">
        <v>17951</v>
      </c>
    </row>
    <row r="128" spans="1:3" x14ac:dyDescent="0.3">
      <c r="A128" s="7" t="s">
        <v>8</v>
      </c>
      <c r="B128" s="8">
        <v>2.2200000000000002</v>
      </c>
      <c r="C128" s="29">
        <v>2798</v>
      </c>
    </row>
    <row r="129" spans="1:3" x14ac:dyDescent="0.3">
      <c r="A129" s="5" t="s">
        <v>9</v>
      </c>
      <c r="B129" s="6">
        <v>8.33</v>
      </c>
      <c r="C129" s="28">
        <v>15045</v>
      </c>
    </row>
    <row r="130" spans="1:3" x14ac:dyDescent="0.3">
      <c r="A130" s="7" t="s">
        <v>6</v>
      </c>
      <c r="B130" s="8">
        <v>3.3</v>
      </c>
      <c r="C130" s="29">
        <v>14548</v>
      </c>
    </row>
    <row r="131" spans="1:3" x14ac:dyDescent="0.3">
      <c r="A131" s="5" t="s">
        <v>7</v>
      </c>
      <c r="B131" s="6">
        <v>5.61</v>
      </c>
      <c r="C131" s="28">
        <v>45708</v>
      </c>
    </row>
    <row r="132" spans="1:3" x14ac:dyDescent="0.3">
      <c r="A132" s="7" t="s">
        <v>8</v>
      </c>
      <c r="B132" s="8">
        <v>2.56</v>
      </c>
      <c r="C132" s="29">
        <v>12350</v>
      </c>
    </row>
    <row r="133" spans="1:3" x14ac:dyDescent="0.3">
      <c r="A133" s="5" t="s">
        <v>9</v>
      </c>
      <c r="B133" s="6">
        <v>3.29</v>
      </c>
      <c r="C133" s="28">
        <v>40868</v>
      </c>
    </row>
    <row r="134" spans="1:3" x14ac:dyDescent="0.3">
      <c r="A134" s="7" t="s">
        <v>6</v>
      </c>
      <c r="B134" s="8">
        <v>9.24</v>
      </c>
      <c r="C134" s="29">
        <v>43122</v>
      </c>
    </row>
    <row r="135" spans="1:3" x14ac:dyDescent="0.3">
      <c r="A135" s="5" t="s">
        <v>7</v>
      </c>
      <c r="B135" s="6">
        <v>4.51</v>
      </c>
      <c r="C135" s="28">
        <v>23853</v>
      </c>
    </row>
    <row r="136" spans="1:3" x14ac:dyDescent="0.3">
      <c r="A136" s="7" t="s">
        <v>8</v>
      </c>
      <c r="B136" s="8">
        <v>5.23</v>
      </c>
      <c r="C136" s="29">
        <v>45380</v>
      </c>
    </row>
    <row r="137" spans="1:3" x14ac:dyDescent="0.3">
      <c r="A137" s="5" t="s">
        <v>9</v>
      </c>
      <c r="B137" s="6">
        <v>4.68</v>
      </c>
      <c r="C137" s="28">
        <v>7705</v>
      </c>
    </row>
    <row r="138" spans="1:3" x14ac:dyDescent="0.3">
      <c r="A138" s="7" t="s">
        <v>6</v>
      </c>
      <c r="B138" s="8">
        <v>9.23</v>
      </c>
      <c r="C138" s="29">
        <v>25525</v>
      </c>
    </row>
    <row r="139" spans="1:3" x14ac:dyDescent="0.3">
      <c r="A139" s="5" t="s">
        <v>7</v>
      </c>
      <c r="B139" s="6">
        <v>6.37</v>
      </c>
      <c r="C139" s="28">
        <v>20560</v>
      </c>
    </row>
    <row r="140" spans="1:3" x14ac:dyDescent="0.3">
      <c r="A140" s="7" t="s">
        <v>8</v>
      </c>
      <c r="B140" s="8">
        <v>2.0099999999999998</v>
      </c>
      <c r="C140" s="29">
        <v>19119</v>
      </c>
    </row>
    <row r="141" spans="1:3" x14ac:dyDescent="0.3">
      <c r="A141" s="5" t="s">
        <v>9</v>
      </c>
      <c r="B141" s="6">
        <v>3.72</v>
      </c>
      <c r="C141" s="28">
        <v>43999</v>
      </c>
    </row>
    <row r="142" spans="1:3" x14ac:dyDescent="0.3">
      <c r="A142" s="7" t="s">
        <v>6</v>
      </c>
      <c r="B142" s="8">
        <v>3.89</v>
      </c>
      <c r="C142" s="29">
        <v>10825</v>
      </c>
    </row>
    <row r="143" spans="1:3" x14ac:dyDescent="0.3">
      <c r="A143" s="5" t="s">
        <v>7</v>
      </c>
      <c r="B143" s="6">
        <v>8.6999999999999993</v>
      </c>
      <c r="C143" s="28">
        <v>40323</v>
      </c>
    </row>
    <row r="144" spans="1:3" x14ac:dyDescent="0.3">
      <c r="A144" s="7" t="s">
        <v>8</v>
      </c>
      <c r="B144" s="8">
        <v>6.95</v>
      </c>
      <c r="C144" s="29">
        <v>48270</v>
      </c>
    </row>
    <row r="145" spans="1:3" x14ac:dyDescent="0.3">
      <c r="A145" s="5" t="s">
        <v>9</v>
      </c>
      <c r="B145" s="6">
        <v>9.48</v>
      </c>
      <c r="C145" s="28">
        <v>18001</v>
      </c>
    </row>
    <row r="146" spans="1:3" x14ac:dyDescent="0.3">
      <c r="A146" s="7" t="s">
        <v>6</v>
      </c>
      <c r="B146" s="8">
        <v>4.6100000000000003</v>
      </c>
      <c r="C146" s="29">
        <v>3314</v>
      </c>
    </row>
    <row r="147" spans="1:3" x14ac:dyDescent="0.3">
      <c r="A147" s="5" t="s">
        <v>7</v>
      </c>
      <c r="B147" s="6">
        <v>8.0299999999999994</v>
      </c>
      <c r="C147" s="28">
        <v>23489</v>
      </c>
    </row>
    <row r="148" spans="1:3" x14ac:dyDescent="0.3">
      <c r="A148" s="7" t="s">
        <v>8</v>
      </c>
      <c r="B148" s="8">
        <v>6.99</v>
      </c>
      <c r="C148" s="29">
        <v>42832</v>
      </c>
    </row>
    <row r="149" spans="1:3" x14ac:dyDescent="0.3">
      <c r="A149" s="5" t="s">
        <v>9</v>
      </c>
      <c r="B149" s="6">
        <v>9.0299999999999994</v>
      </c>
      <c r="C149" s="28">
        <v>24494</v>
      </c>
    </row>
    <row r="150" spans="1:3" x14ac:dyDescent="0.3">
      <c r="A150" s="7" t="s">
        <v>6</v>
      </c>
      <c r="B150" s="8">
        <v>2.86</v>
      </c>
      <c r="C150" s="29">
        <v>44097</v>
      </c>
    </row>
    <row r="151" spans="1:3" x14ac:dyDescent="0.3">
      <c r="A151" s="5" t="s">
        <v>7</v>
      </c>
      <c r="B151" s="6">
        <v>3.85</v>
      </c>
      <c r="C151" s="28">
        <v>31853</v>
      </c>
    </row>
    <row r="152" spans="1:3" x14ac:dyDescent="0.3">
      <c r="A152" s="7" t="s">
        <v>8</v>
      </c>
      <c r="B152" s="8">
        <v>7.3</v>
      </c>
      <c r="C152" s="29">
        <v>37636</v>
      </c>
    </row>
    <row r="153" spans="1:3" x14ac:dyDescent="0.3">
      <c r="A153" s="5" t="s">
        <v>9</v>
      </c>
      <c r="B153" s="6">
        <v>9.08</v>
      </c>
      <c r="C153" s="28">
        <v>22996</v>
      </c>
    </row>
    <row r="154" spans="1:3" x14ac:dyDescent="0.3">
      <c r="A154" s="7" t="s">
        <v>6</v>
      </c>
      <c r="B154" s="8">
        <v>4.34</v>
      </c>
      <c r="C154" s="29">
        <v>49772</v>
      </c>
    </row>
    <row r="155" spans="1:3" x14ac:dyDescent="0.3">
      <c r="A155" s="5" t="s">
        <v>7</v>
      </c>
      <c r="B155" s="6">
        <v>7.8</v>
      </c>
      <c r="C155" s="28">
        <v>22713</v>
      </c>
    </row>
    <row r="156" spans="1:3" x14ac:dyDescent="0.3">
      <c r="A156" s="7" t="s">
        <v>8</v>
      </c>
      <c r="B156" s="8">
        <v>3.85</v>
      </c>
      <c r="C156" s="29">
        <v>8718</v>
      </c>
    </row>
    <row r="157" spans="1:3" x14ac:dyDescent="0.3">
      <c r="A157" s="5" t="s">
        <v>9</v>
      </c>
      <c r="B157" s="6">
        <v>6.58</v>
      </c>
      <c r="C157" s="28">
        <v>39031</v>
      </c>
    </row>
    <row r="158" spans="1:3" x14ac:dyDescent="0.3">
      <c r="A158" s="7" t="s">
        <v>6</v>
      </c>
      <c r="B158" s="8">
        <v>8.6199999999999992</v>
      </c>
      <c r="C158" s="29">
        <v>33799</v>
      </c>
    </row>
    <row r="159" spans="1:3" x14ac:dyDescent="0.3">
      <c r="A159" s="5" t="s">
        <v>7</v>
      </c>
      <c r="B159" s="6">
        <v>4.55</v>
      </c>
      <c r="C159" s="28">
        <v>20553</v>
      </c>
    </row>
    <row r="160" spans="1:3" x14ac:dyDescent="0.3">
      <c r="A160" s="7" t="s">
        <v>8</v>
      </c>
      <c r="B160" s="8">
        <v>8.33</v>
      </c>
      <c r="C160" s="29">
        <v>10002</v>
      </c>
    </row>
    <row r="161" spans="1:3" x14ac:dyDescent="0.3">
      <c r="A161" s="5" t="s">
        <v>9</v>
      </c>
      <c r="B161" s="6">
        <v>9.4</v>
      </c>
      <c r="C161" s="28">
        <v>30987</v>
      </c>
    </row>
    <row r="162" spans="1:3" x14ac:dyDescent="0.3">
      <c r="A162" s="7" t="s">
        <v>6</v>
      </c>
      <c r="B162" s="8">
        <v>7.23</v>
      </c>
      <c r="C162" s="29">
        <v>6296</v>
      </c>
    </row>
    <row r="163" spans="1:3" x14ac:dyDescent="0.3">
      <c r="A163" s="5" t="s">
        <v>7</v>
      </c>
      <c r="B163" s="6">
        <v>9.39</v>
      </c>
      <c r="C163" s="28">
        <v>21539</v>
      </c>
    </row>
    <row r="164" spans="1:3" x14ac:dyDescent="0.3">
      <c r="A164" s="7" t="s">
        <v>8</v>
      </c>
      <c r="B164" s="8">
        <v>5.12</v>
      </c>
      <c r="C164" s="29">
        <v>14722</v>
      </c>
    </row>
    <row r="165" spans="1:3" x14ac:dyDescent="0.3">
      <c r="A165" s="5" t="s">
        <v>9</v>
      </c>
      <c r="B165" s="6">
        <v>6.11</v>
      </c>
      <c r="C165" s="28">
        <v>11383</v>
      </c>
    </row>
    <row r="166" spans="1:3" x14ac:dyDescent="0.3">
      <c r="A166" s="7" t="s">
        <v>6</v>
      </c>
      <c r="B166" s="8">
        <v>7.74</v>
      </c>
      <c r="C166" s="29">
        <v>9480</v>
      </c>
    </row>
    <row r="167" spans="1:3" x14ac:dyDescent="0.3">
      <c r="A167" s="5" t="s">
        <v>7</v>
      </c>
      <c r="B167" s="6">
        <v>4.9400000000000004</v>
      </c>
      <c r="C167" s="28">
        <v>29116</v>
      </c>
    </row>
    <row r="168" spans="1:3" x14ac:dyDescent="0.3">
      <c r="A168" s="7" t="s">
        <v>8</v>
      </c>
      <c r="B168" s="8">
        <v>1.8</v>
      </c>
      <c r="C168" s="29">
        <v>14068</v>
      </c>
    </row>
    <row r="169" spans="1:3" x14ac:dyDescent="0.3">
      <c r="A169" s="5" t="s">
        <v>9</v>
      </c>
      <c r="B169" s="6">
        <v>8.64</v>
      </c>
      <c r="C169" s="28">
        <v>35801</v>
      </c>
    </row>
    <row r="170" spans="1:3" x14ac:dyDescent="0.3">
      <c r="A170" s="7" t="s">
        <v>6</v>
      </c>
      <c r="B170" s="8">
        <v>1.53</v>
      </c>
      <c r="C170" s="29">
        <v>49077</v>
      </c>
    </row>
    <row r="171" spans="1:3" x14ac:dyDescent="0.3">
      <c r="A171" s="5" t="s">
        <v>7</v>
      </c>
      <c r="B171" s="6">
        <v>8.52</v>
      </c>
      <c r="C171" s="28">
        <v>21453</v>
      </c>
    </row>
    <row r="172" spans="1:3" x14ac:dyDescent="0.3">
      <c r="A172" s="7" t="s">
        <v>8</v>
      </c>
      <c r="B172" s="8">
        <v>5.53</v>
      </c>
      <c r="C172" s="29">
        <v>21061</v>
      </c>
    </row>
    <row r="173" spans="1:3" x14ac:dyDescent="0.3">
      <c r="A173" s="5" t="s">
        <v>9</v>
      </c>
      <c r="B173" s="6">
        <v>1.87</v>
      </c>
      <c r="C173" s="28">
        <v>20059</v>
      </c>
    </row>
    <row r="174" spans="1:3" x14ac:dyDescent="0.3">
      <c r="A174" s="7" t="s">
        <v>6</v>
      </c>
      <c r="B174" s="8">
        <v>6.27</v>
      </c>
      <c r="C174" s="29">
        <v>23140</v>
      </c>
    </row>
    <row r="175" spans="1:3" x14ac:dyDescent="0.3">
      <c r="A175" s="5" t="s">
        <v>7</v>
      </c>
      <c r="B175" s="6">
        <v>9.4600000000000009</v>
      </c>
      <c r="C175" s="28">
        <v>23461</v>
      </c>
    </row>
    <row r="176" spans="1:3" x14ac:dyDescent="0.3">
      <c r="A176" s="7" t="s">
        <v>8</v>
      </c>
      <c r="B176" s="8">
        <v>7.5</v>
      </c>
      <c r="C176" s="29">
        <v>11805</v>
      </c>
    </row>
    <row r="177" spans="1:3" x14ac:dyDescent="0.3">
      <c r="A177" s="5" t="s">
        <v>9</v>
      </c>
      <c r="B177" s="6">
        <v>4.7300000000000004</v>
      </c>
      <c r="C177" s="28">
        <v>15969</v>
      </c>
    </row>
    <row r="178" spans="1:3" x14ac:dyDescent="0.3">
      <c r="A178" s="7" t="s">
        <v>6</v>
      </c>
      <c r="B178" s="8">
        <v>3.19</v>
      </c>
      <c r="C178" s="29">
        <v>2436</v>
      </c>
    </row>
    <row r="179" spans="1:3" x14ac:dyDescent="0.3">
      <c r="A179" s="5" t="s">
        <v>7</v>
      </c>
      <c r="B179" s="6">
        <v>2.4900000000000002</v>
      </c>
      <c r="C179" s="28">
        <v>47603</v>
      </c>
    </row>
    <row r="180" spans="1:3" x14ac:dyDescent="0.3">
      <c r="A180" s="7" t="s">
        <v>8</v>
      </c>
      <c r="B180" s="8">
        <v>4.5</v>
      </c>
      <c r="C180" s="29">
        <v>42964</v>
      </c>
    </row>
    <row r="181" spans="1:3" x14ac:dyDescent="0.3">
      <c r="A181" s="5" t="s">
        <v>9</v>
      </c>
      <c r="B181" s="6">
        <v>6.49</v>
      </c>
      <c r="C181" s="28">
        <v>39923</v>
      </c>
    </row>
    <row r="182" spans="1:3" x14ac:dyDescent="0.3">
      <c r="A182" s="7" t="s">
        <v>6</v>
      </c>
      <c r="B182" s="8">
        <v>6.73</v>
      </c>
      <c r="C182" s="29">
        <v>2293</v>
      </c>
    </row>
    <row r="183" spans="1:3" x14ac:dyDescent="0.3">
      <c r="A183" s="5" t="s">
        <v>7</v>
      </c>
      <c r="B183" s="6">
        <v>4.83</v>
      </c>
      <c r="C183" s="28">
        <v>25920</v>
      </c>
    </row>
    <row r="184" spans="1:3" x14ac:dyDescent="0.3">
      <c r="A184" s="7" t="s">
        <v>8</v>
      </c>
      <c r="B184" s="8">
        <v>5.3</v>
      </c>
      <c r="C184" s="29">
        <v>11035</v>
      </c>
    </row>
    <row r="185" spans="1:3" x14ac:dyDescent="0.3">
      <c r="A185" s="5" t="s">
        <v>9</v>
      </c>
      <c r="B185" s="6">
        <v>6.54</v>
      </c>
      <c r="C185" s="28">
        <v>20733</v>
      </c>
    </row>
    <row r="186" spans="1:3" x14ac:dyDescent="0.3">
      <c r="A186" s="7" t="s">
        <v>6</v>
      </c>
      <c r="B186" s="8">
        <v>6.8</v>
      </c>
      <c r="C186" s="29">
        <v>18693</v>
      </c>
    </row>
    <row r="187" spans="1:3" x14ac:dyDescent="0.3">
      <c r="A187" s="5" t="s">
        <v>7</v>
      </c>
      <c r="B187" s="6">
        <v>2.6</v>
      </c>
      <c r="C187" s="28">
        <v>7875</v>
      </c>
    </row>
    <row r="188" spans="1:3" x14ac:dyDescent="0.3">
      <c r="A188" s="7" t="s">
        <v>8</v>
      </c>
      <c r="B188" s="8">
        <v>2.44</v>
      </c>
      <c r="C188" s="29">
        <v>8471</v>
      </c>
    </row>
    <row r="189" spans="1:3" x14ac:dyDescent="0.3">
      <c r="A189" s="5" t="s">
        <v>9</v>
      </c>
      <c r="B189" s="6">
        <v>3.09</v>
      </c>
      <c r="C189" s="28">
        <v>14090</v>
      </c>
    </row>
    <row r="190" spans="1:3" x14ac:dyDescent="0.3">
      <c r="A190" s="7" t="s">
        <v>6</v>
      </c>
      <c r="B190" s="8">
        <v>5.69</v>
      </c>
      <c r="C190" s="29">
        <v>14216</v>
      </c>
    </row>
    <row r="191" spans="1:3" x14ac:dyDescent="0.3">
      <c r="A191" s="5" t="s">
        <v>7</v>
      </c>
      <c r="B191" s="6">
        <v>3.86</v>
      </c>
      <c r="C191" s="28">
        <v>3582</v>
      </c>
    </row>
    <row r="192" spans="1:3" x14ac:dyDescent="0.3">
      <c r="A192" s="7" t="s">
        <v>8</v>
      </c>
      <c r="B192" s="8">
        <v>3.16</v>
      </c>
      <c r="C192" s="29">
        <v>32500</v>
      </c>
    </row>
    <row r="193" spans="1:3" x14ac:dyDescent="0.3">
      <c r="A193" s="5" t="s">
        <v>9</v>
      </c>
      <c r="B193" s="6">
        <v>1.6</v>
      </c>
      <c r="C193" s="28">
        <v>6832</v>
      </c>
    </row>
    <row r="194" spans="1:3" x14ac:dyDescent="0.3">
      <c r="A194" s="7" t="s">
        <v>6</v>
      </c>
      <c r="B194" s="8">
        <v>6.09</v>
      </c>
      <c r="C194" s="29">
        <v>33381</v>
      </c>
    </row>
    <row r="195" spans="1:3" x14ac:dyDescent="0.3">
      <c r="A195" s="5" t="s">
        <v>7</v>
      </c>
      <c r="B195" s="6">
        <v>5.59</v>
      </c>
      <c r="C195" s="28">
        <v>48419</v>
      </c>
    </row>
    <row r="196" spans="1:3" x14ac:dyDescent="0.3">
      <c r="A196" s="7" t="s">
        <v>8</v>
      </c>
      <c r="B196" s="8">
        <v>3.55</v>
      </c>
      <c r="C196" s="29">
        <v>16149</v>
      </c>
    </row>
    <row r="197" spans="1:3" x14ac:dyDescent="0.3">
      <c r="A197" s="5" t="s">
        <v>9</v>
      </c>
      <c r="B197" s="6">
        <v>5.21</v>
      </c>
      <c r="C197" s="28">
        <v>7541</v>
      </c>
    </row>
    <row r="198" spans="1:3" x14ac:dyDescent="0.3">
      <c r="A198" s="7" t="s">
        <v>6</v>
      </c>
      <c r="B198" s="8">
        <v>1.82</v>
      </c>
      <c r="C198" s="29">
        <v>20042</v>
      </c>
    </row>
    <row r="199" spans="1:3" x14ac:dyDescent="0.3">
      <c r="A199" s="5" t="s">
        <v>7</v>
      </c>
      <c r="B199" s="6">
        <v>4</v>
      </c>
      <c r="C199" s="28">
        <v>49400</v>
      </c>
    </row>
    <row r="200" spans="1:3" x14ac:dyDescent="0.3">
      <c r="A200" s="7" t="s">
        <v>8</v>
      </c>
      <c r="B200" s="8">
        <v>7.57</v>
      </c>
      <c r="C200" s="29">
        <v>4007</v>
      </c>
    </row>
    <row r="201" spans="1:3" x14ac:dyDescent="0.3">
      <c r="A201" s="5" t="s">
        <v>9</v>
      </c>
      <c r="B201" s="6">
        <v>6.81</v>
      </c>
      <c r="C201" s="28">
        <v>12174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5886AB-58C5-4C2E-8C90-6E6DC8F178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Highest Engagement and Growth </vt:lpstr>
      <vt:lpstr>Visualize and Advise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Arkaprabha Chowdhury</dc:creator>
  <cp:lastModifiedBy>Arkaprabha Chowdhury</cp:lastModifiedBy>
  <dcterms:created xsi:type="dcterms:W3CDTF">2025-12-23T21:03:44Z</dcterms:created>
  <dcterms:modified xsi:type="dcterms:W3CDTF">2025-12-24T00:07:07Z</dcterms:modified>
</cp:coreProperties>
</file>